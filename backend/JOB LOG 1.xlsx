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60" windowHeight="7680" activeTab="5"/>
  </bookViews>
  <sheets>
    <sheet name="Nov'25" sheetId="1" r:id="rId1"/>
    <sheet name="Dec'25" sheetId="2" r:id="rId2"/>
    <sheet name="Jan'26" sheetId="7" r:id="rId3"/>
    <sheet name="Feb'26" sheetId="8" r:id="rId4"/>
    <sheet name="Mar'26" sheetId="10" r:id="rId5"/>
    <sheet name="Apr'26" sheetId="9" r:id="rId6"/>
    <sheet name="Sheet2" sheetId="11" r:id="rId7"/>
  </sheets>
  <definedNames>
    <definedName name="_xlnm._FilterDatabase" localSheetId="5" hidden="1">'Apr''26'!$A$1:$L$80</definedName>
    <definedName name="_xlnm._FilterDatabase" localSheetId="1" hidden="1">'Dec''25'!$A$2:$M$144</definedName>
    <definedName name="_xlnm._FilterDatabase" localSheetId="3" hidden="1">'Feb''26'!$A$2:$L$98</definedName>
    <definedName name="_xlnm._FilterDatabase" localSheetId="2" hidden="1">'Jan''26'!$A$2:$N$88</definedName>
    <definedName name="_xlnm._FilterDatabase" localSheetId="4" hidden="1">'Mar''26'!$A$2:$L$128</definedName>
    <definedName name="_xlnm._FilterDatabase" localSheetId="0" hidden="1">'Nov''25'!$A$2:$K$34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9" i="9" l="1"/>
  <c r="I78" i="9" l="1"/>
  <c r="I73" i="9"/>
  <c r="I72" i="9"/>
  <c r="I70" i="9" l="1"/>
  <c r="I69" i="9"/>
  <c r="I67" i="9"/>
  <c r="I66" i="9" l="1"/>
  <c r="I38" i="9" l="1"/>
  <c r="I60" i="9" l="1"/>
  <c r="I59" i="9"/>
  <c r="I54" i="9" l="1"/>
  <c r="I36" i="9" l="1"/>
  <c r="I32" i="9"/>
  <c r="I33" i="9"/>
  <c r="I30" i="9" l="1"/>
  <c r="I28" i="9"/>
  <c r="I11" i="9" l="1"/>
  <c r="I10" i="9" l="1"/>
  <c r="I8" i="9"/>
  <c r="I5" i="9" l="1"/>
  <c r="I122" i="10" l="1"/>
  <c r="I120" i="10"/>
  <c r="I119" i="10"/>
  <c r="I115" i="10"/>
  <c r="I116" i="10"/>
  <c r="I108" i="10" l="1"/>
  <c r="I107" i="10"/>
  <c r="I106" i="10"/>
  <c r="I92" i="10" l="1"/>
  <c r="I81" i="10" l="1"/>
  <c r="I77" i="10"/>
  <c r="I76" i="10"/>
  <c r="I75" i="10"/>
  <c r="I65" i="10"/>
  <c r="I63" i="10"/>
  <c r="I54" i="10" l="1"/>
  <c r="I53" i="10"/>
  <c r="I51" i="10" l="1"/>
  <c r="I40" i="10" l="1"/>
  <c r="I35" i="10"/>
  <c r="I22" i="10" l="1"/>
  <c r="I4" i="10" l="1"/>
  <c r="I92" i="8" l="1"/>
  <c r="I64" i="8" l="1"/>
  <c r="I62" i="8"/>
  <c r="I53" i="8"/>
  <c r="I52" i="8"/>
  <c r="I40" i="8" l="1"/>
  <c r="I38" i="8" l="1"/>
  <c r="I37" i="8"/>
  <c r="I34" i="8"/>
  <c r="I32" i="8"/>
  <c r="I31" i="8"/>
  <c r="I85" i="7" l="1"/>
  <c r="I64" i="7" l="1"/>
  <c r="I58" i="7" l="1"/>
  <c r="I53" i="7"/>
  <c r="I49" i="7" l="1"/>
  <c r="I40" i="7"/>
  <c r="I39" i="7"/>
  <c r="I36" i="7"/>
  <c r="I33" i="7"/>
  <c r="I31" i="7"/>
  <c r="I30" i="7"/>
  <c r="I28" i="7"/>
  <c r="I25" i="7"/>
  <c r="I14" i="7" l="1"/>
  <c r="I13" i="7" l="1"/>
  <c r="I12" i="7"/>
  <c r="I10" i="7"/>
  <c r="I7" i="7"/>
  <c r="I137" i="2" l="1"/>
  <c r="I134" i="2"/>
  <c r="I133" i="2"/>
  <c r="I132" i="2"/>
  <c r="I131" i="2"/>
  <c r="I130" i="2"/>
  <c r="I114" i="2" l="1"/>
  <c r="I112" i="2" l="1"/>
  <c r="I109" i="2"/>
  <c r="I110" i="2"/>
  <c r="I106" i="2"/>
  <c r="I99" i="2" l="1"/>
  <c r="I98" i="2"/>
  <c r="I92" i="2" l="1"/>
  <c r="I80" i="2" l="1"/>
  <c r="I79" i="2"/>
  <c r="I78" i="2"/>
  <c r="T73" i="2"/>
  <c r="U73" i="2" s="1"/>
</calcChain>
</file>

<file path=xl/sharedStrings.xml><?xml version="1.0" encoding="utf-8"?>
<sst xmlns="http://schemas.openxmlformats.org/spreadsheetml/2006/main" count="3515" uniqueCount="1290">
  <si>
    <t>Reg No.</t>
  </si>
  <si>
    <t>Name</t>
  </si>
  <si>
    <t>Mobile No.</t>
  </si>
  <si>
    <t>Chachis No.</t>
  </si>
  <si>
    <t>Work Done</t>
  </si>
  <si>
    <t>J/C (Y/N)</t>
  </si>
  <si>
    <t>Amount</t>
  </si>
  <si>
    <t>DL8SCV8607</t>
  </si>
  <si>
    <t>YES</t>
  </si>
  <si>
    <t>LEFT INDICATOR</t>
  </si>
  <si>
    <t>MODE OF PAYMNET</t>
  </si>
  <si>
    <t>ONLINE</t>
  </si>
  <si>
    <t>Deepak Incentive</t>
  </si>
  <si>
    <t>No</t>
  </si>
  <si>
    <t>Incentive Given</t>
  </si>
  <si>
    <t>DL8GD9452</t>
  </si>
  <si>
    <t>Tushar Kumar Gupta</t>
  </si>
  <si>
    <t>MZMBU101CP0024903</t>
  </si>
  <si>
    <t>Yes</t>
  </si>
  <si>
    <t>Service, Rear Brake Pad</t>
  </si>
  <si>
    <t>DL9EV6937</t>
  </si>
  <si>
    <t>Bijender Singh</t>
  </si>
  <si>
    <t>Service, Rear Brake Pad, Cone Set</t>
  </si>
  <si>
    <t>MZMFT102AR0002070</t>
  </si>
  <si>
    <t>Date</t>
  </si>
  <si>
    <t>DL8SCU5734</t>
  </si>
  <si>
    <t>Ravi Sharma</t>
  </si>
  <si>
    <t>DL8GD0676</t>
  </si>
  <si>
    <t>Krishan Singh</t>
  </si>
  <si>
    <t>Charging Socket</t>
  </si>
  <si>
    <t>DL8GD8305</t>
  </si>
  <si>
    <t>Both Brake Pad</t>
  </si>
  <si>
    <t>CASH</t>
  </si>
  <si>
    <t>Side Stand Sensor</t>
  </si>
  <si>
    <t>DL8GD2931</t>
  </si>
  <si>
    <t>Service, Brake Sensor</t>
  </si>
  <si>
    <t>Ainuddin Siddiqui</t>
  </si>
  <si>
    <t>Service</t>
  </si>
  <si>
    <t>Anoop Kumar Gupta</t>
  </si>
  <si>
    <t>DL8GD0791</t>
  </si>
  <si>
    <t>HR98P1223</t>
  </si>
  <si>
    <t>Cone Set</t>
  </si>
  <si>
    <t>Sachin</t>
  </si>
  <si>
    <t>HR26FV5775</t>
  </si>
  <si>
    <t>Shi Ji Mishra</t>
  </si>
  <si>
    <t>Lock Set 3 pcs</t>
  </si>
  <si>
    <t>DL8GD1273</t>
  </si>
  <si>
    <t>Sijo</t>
  </si>
  <si>
    <t>Handle, Lever, Rubber</t>
  </si>
  <si>
    <t>DL8GD3919</t>
  </si>
  <si>
    <t>Mayank</t>
  </si>
  <si>
    <t>Rear Wheel Bearing</t>
  </si>
  <si>
    <t>Plastic parts, Mirror, Shocker Right</t>
  </si>
  <si>
    <t>DL8GD8591</t>
  </si>
  <si>
    <t>Amit Kumar</t>
  </si>
  <si>
    <t>Front V2 Break Pad(Counter Sale)</t>
  </si>
  <si>
    <t>DL8SCT7473</t>
  </si>
  <si>
    <t>Naveen Chand</t>
  </si>
  <si>
    <t>Battery coupler, R Foot rest, Indicator</t>
  </si>
  <si>
    <t>DL8EV2294</t>
  </si>
  <si>
    <t>Vishwas Kumar</t>
  </si>
  <si>
    <t>DL8GD6529</t>
  </si>
  <si>
    <t>Parshuram</t>
  </si>
  <si>
    <t>Service, Cone Set, Center Stand</t>
  </si>
  <si>
    <t>DL9EV7920</t>
  </si>
  <si>
    <t>Anil</t>
  </si>
  <si>
    <t>HR26FS4305</t>
  </si>
  <si>
    <t>Sunil</t>
  </si>
  <si>
    <t>Service, Chain Set, Rear Break Pad</t>
  </si>
  <si>
    <t>Jeevan Singh</t>
  </si>
  <si>
    <t>DL8GD0521</t>
  </si>
  <si>
    <t>Rr Braek pad, Flasher, Lever, Horn</t>
  </si>
  <si>
    <t>Both Pulley, Cone Set</t>
  </si>
  <si>
    <t>DL8GD0745</t>
  </si>
  <si>
    <t>Bhanu Pratap Singh</t>
  </si>
  <si>
    <t>Female Battery Coupler</t>
  </si>
  <si>
    <t>DL9SCU8288</t>
  </si>
  <si>
    <t>Akash Maheshwari</t>
  </si>
  <si>
    <t>Service and Chain Lube</t>
  </si>
  <si>
    <t>SHAJID ALI  </t>
  </si>
  <si>
    <t>DL6EV1794</t>
  </si>
  <si>
    <t>Flasher, Rear Break Pad, Seat Latch</t>
  </si>
  <si>
    <t>DL8GD0899</t>
  </si>
  <si>
    <t>Both Break Pad, Lever</t>
  </si>
  <si>
    <t>Mohit(Pol)</t>
  </si>
  <si>
    <t>Azad Kumar</t>
  </si>
  <si>
    <t>DL8GD5988</t>
  </si>
  <si>
    <t>Darbara Singh</t>
  </si>
  <si>
    <t>Fr Caliper, Br Pad, Side Charging Socket,Left Lever, Labour</t>
  </si>
  <si>
    <t>DL8SCT4818</t>
  </si>
  <si>
    <t>Nakul</t>
  </si>
  <si>
    <t>Rear Caliper Service, Br Pad</t>
  </si>
  <si>
    <t>DL8SCT4750</t>
  </si>
  <si>
    <t>Md Heera Khan</t>
  </si>
  <si>
    <t>DL8EV2726</t>
  </si>
  <si>
    <t>Chain, Cone Set</t>
  </si>
  <si>
    <t>Abhishek Yadav </t>
  </si>
  <si>
    <t>both br Pad, Service, Lever left, Headlight Repair,Footrest,Both Caliper, Nut</t>
  </si>
  <si>
    <t>DL8GD1840</t>
  </si>
  <si>
    <t>Arvind Singh</t>
  </si>
  <si>
    <t>Fr Brake Pad and caliper Service</t>
  </si>
  <si>
    <t>DL8SCV7341</t>
  </si>
  <si>
    <t>Madhav</t>
  </si>
  <si>
    <t>Head Light Wiring. LH Sitch</t>
  </si>
  <si>
    <t>DL8GD1871</t>
  </si>
  <si>
    <t>SONU DRALL</t>
  </si>
  <si>
    <t>NO</t>
  </si>
  <si>
    <t>VEHICLE NOT START( FUSE PROBLEM AND WIRING CHECK)</t>
  </si>
  <si>
    <t>DL8GD4131</t>
  </si>
  <si>
    <t>Front Break Pad(V2)</t>
  </si>
  <si>
    <t>MZMBU1018N0014306</t>
  </si>
  <si>
    <t>Jitender</t>
  </si>
  <si>
    <t>K. M.</t>
  </si>
  <si>
    <t>Online</t>
  </si>
  <si>
    <t>BOTH BRAKE PAD CHANGE</t>
  </si>
  <si>
    <t>DL8GD0582</t>
  </si>
  <si>
    <t>Pyar Singh</t>
  </si>
  <si>
    <t>Bill Pending</t>
  </si>
  <si>
    <t>DL8GD3539</t>
  </si>
  <si>
    <t>Amit</t>
  </si>
  <si>
    <t>MZMBU1016N0011273</t>
  </si>
  <si>
    <t>Both Pulley, Lock Set, DC DC</t>
  </si>
  <si>
    <t>Left Brake Lever</t>
  </si>
  <si>
    <t>DL8GD3448</t>
  </si>
  <si>
    <t>Lt Master Cylinder and lever</t>
  </si>
  <si>
    <t>Rohit</t>
  </si>
  <si>
    <t>Cash</t>
  </si>
  <si>
    <t>DL8GD0377</t>
  </si>
  <si>
    <t>Mahesh</t>
  </si>
  <si>
    <t xml:space="preserve"> front bearing &amp; footrest bolt change</t>
  </si>
  <si>
    <t>DL8GD0803</t>
  </si>
  <si>
    <t>Aamir</t>
  </si>
  <si>
    <t>Left Foot Rest and wiring check</t>
  </si>
  <si>
    <t>Neeraj</t>
  </si>
  <si>
    <t>MZMFT102AR0002059</t>
  </si>
  <si>
    <t>Plastic Parts, Brake Pad Front</t>
  </si>
  <si>
    <t>HR24AH9998</t>
  </si>
  <si>
    <t>HR98T1641</t>
  </si>
  <si>
    <t>Abhijeet</t>
  </si>
  <si>
    <t>Chian Set, Cone, Both Break Pad</t>
  </si>
  <si>
    <t>Suraj</t>
  </si>
  <si>
    <t>TPS</t>
  </si>
  <si>
    <t>DL9EV6925</t>
  </si>
  <si>
    <t>Front Brake Pad, Cone</t>
  </si>
  <si>
    <t>Online+Cash(1200)</t>
  </si>
  <si>
    <t>DL8GD5845</t>
  </si>
  <si>
    <t>Lock Set, Service</t>
  </si>
  <si>
    <t>Rakesh</t>
  </si>
  <si>
    <t>Online+Cash(1000)</t>
  </si>
  <si>
    <t>Kamaljeet</t>
  </si>
  <si>
    <t>DL8GD3136</t>
  </si>
  <si>
    <t>Front Break Pad</t>
  </si>
  <si>
    <t>Online+Cash(200)</t>
  </si>
  <si>
    <t>DL76G2609</t>
  </si>
  <si>
    <t>Mohit</t>
  </si>
  <si>
    <t>Rr Break Pad,Cone,Side Charging</t>
  </si>
  <si>
    <t>Lock Set, Rear Break Pad</t>
  </si>
  <si>
    <t>DL8GD4236</t>
  </si>
  <si>
    <t>Shyam singh</t>
  </si>
  <si>
    <t>ABHISHEK KUMAR MEHTO</t>
  </si>
  <si>
    <t>DL6EV2650</t>
  </si>
  <si>
    <t>DL6EV3059</t>
  </si>
  <si>
    <t>Raj Kumar</t>
  </si>
  <si>
    <t>DL6EV1257</t>
  </si>
  <si>
    <t>Dinesh</t>
  </si>
  <si>
    <t>Fr Break Pad, Mirror, LHS Lever</t>
  </si>
  <si>
    <t>DL9EV7135</t>
  </si>
  <si>
    <t>Online+cash(500)</t>
  </si>
  <si>
    <t>Sandeep</t>
  </si>
  <si>
    <t>DL9EV9076</t>
  </si>
  <si>
    <t>Service, Rear Break Pad</t>
  </si>
  <si>
    <t>Gajender Singh</t>
  </si>
  <si>
    <t>DL8EV7107</t>
  </si>
  <si>
    <t>MZMFU1018S0002740</t>
  </si>
  <si>
    <t>ANKIT TOMAR</t>
  </si>
  <si>
    <t>Service, Mirror, Rt Lever</t>
  </si>
  <si>
    <t>DL9EV8101</t>
  </si>
  <si>
    <t>Sohan</t>
  </si>
  <si>
    <t>Service, Reflector, Footrest</t>
  </si>
  <si>
    <t>DL8GD2116</t>
  </si>
  <si>
    <t>Handel,levers horn,front cover,lower plastic both cover.</t>
  </si>
  <si>
    <t>online</t>
  </si>
  <si>
    <t>DL8GD2638</t>
  </si>
  <si>
    <t>KUNDAN</t>
  </si>
  <si>
    <t>REAR BEARING</t>
  </si>
  <si>
    <t>DL8SCT9118</t>
  </si>
  <si>
    <t>SANJEEV</t>
  </si>
  <si>
    <t>DL8GD4714</t>
  </si>
  <si>
    <t>ANKIT.</t>
  </si>
  <si>
    <t>BOTH PULLY</t>
  </si>
  <si>
    <t>V1 FRONT</t>
  </si>
  <si>
    <t>SARDAR JI</t>
  </si>
  <si>
    <t>DL8SCU5984</t>
  </si>
  <si>
    <t>DL8GD0144</t>
  </si>
  <si>
    <t>ANIL JI</t>
  </si>
  <si>
    <t>HORN CHECK</t>
  </si>
  <si>
    <t>TPS SWITCH(COUNTER SALE)</t>
  </si>
  <si>
    <t>HR26FR6215</t>
  </si>
  <si>
    <t>ANKIT</t>
  </si>
  <si>
    <t>CHAIN SET,BOTH BRAKE PAD,HORN THIMBLE,SERVICE,</t>
  </si>
  <si>
    <t>DL8GD1455</t>
  </si>
  <si>
    <t xml:space="preserve">KISHAN </t>
  </si>
  <si>
    <t>DL9SCW2794</t>
  </si>
  <si>
    <t>LAXMI BIST</t>
  </si>
  <si>
    <t>DL9EV7978</t>
  </si>
  <si>
    <t>RAJNISH</t>
  </si>
  <si>
    <t>SERVICE DONE</t>
  </si>
  <si>
    <t>SERVICE  DONE</t>
  </si>
  <si>
    <t>WIRING/COUPLER ISSUE,CUST DENIED FOR WORK</t>
  </si>
  <si>
    <t>DL9SCV7763</t>
  </si>
  <si>
    <t>Naresh Kumar</t>
  </si>
  <si>
    <t>MZMFU1019S0003233</t>
  </si>
  <si>
    <t>DL8GD7381</t>
  </si>
  <si>
    <t>Santosh</t>
  </si>
  <si>
    <t>Meter, Front Bearing, Handle, Fender Front , RH Cowl RR</t>
  </si>
  <si>
    <t>DL8GD1651</t>
  </si>
  <si>
    <t>Service, Lock Set</t>
  </si>
  <si>
    <t>DL8EV5889</t>
  </si>
  <si>
    <t>Shankar</t>
  </si>
  <si>
    <t>Front Mud Guard(Counter Sale)</t>
  </si>
  <si>
    <t>Ravinder Kumar</t>
  </si>
  <si>
    <t>DL9EV8981</t>
  </si>
  <si>
    <t>Chain Set,Front Break Pad, Fr Frnder</t>
  </si>
  <si>
    <t>Online+Cash(2000)</t>
  </si>
  <si>
    <t>Inderpal</t>
  </si>
  <si>
    <t>Rt Inner Cover</t>
  </si>
  <si>
    <t>DL8SCS9115</t>
  </si>
  <si>
    <t>Krishan</t>
  </si>
  <si>
    <t>Rear Breake Pad</t>
  </si>
  <si>
    <t>Card</t>
  </si>
  <si>
    <t>DL8GD3833</t>
  </si>
  <si>
    <t>Dixit</t>
  </si>
  <si>
    <t>Both Pulley, Both Break Pad</t>
  </si>
  <si>
    <t>Sukhvinder</t>
  </si>
  <si>
    <t>DL8GD9414</t>
  </si>
  <si>
    <t>DL6EV1252</t>
  </si>
  <si>
    <t>Vishambher</t>
  </si>
  <si>
    <t>Service and Front Break Pad</t>
  </si>
  <si>
    <t>DL9EV8908</t>
  </si>
  <si>
    <t>MAGIC FASTENERS PRIVATE LIMITED</t>
  </si>
  <si>
    <t>Chain Set and Both Break Pad</t>
  </si>
  <si>
    <t>DL9EV7016</t>
  </si>
  <si>
    <t>Manoj(tihar)</t>
  </si>
  <si>
    <t>Chian set, Both Brake Pad, TPS, Rt Lever,Both Indicator</t>
  </si>
  <si>
    <t>DL8SCV0577</t>
  </si>
  <si>
    <t>Sanjay Kapoor</t>
  </si>
  <si>
    <t>DL8GD0441</t>
  </si>
  <si>
    <t>Pradeep</t>
  </si>
  <si>
    <t>Head Light Repair</t>
  </si>
  <si>
    <t>DL8SCT3842</t>
  </si>
  <si>
    <t>Both Break Pad, And Caliper Service</t>
  </si>
  <si>
    <t>Online + cash(200)</t>
  </si>
  <si>
    <t>Gautam</t>
  </si>
  <si>
    <t>DL8GD2169</t>
  </si>
  <si>
    <t>Online+ cash(600)</t>
  </si>
  <si>
    <t>DEEPAK CHHOKER</t>
  </si>
  <si>
    <t>DL8GD4195</t>
  </si>
  <si>
    <t>Left Lever</t>
  </si>
  <si>
    <t>TPS(Counter Sale)</t>
  </si>
  <si>
    <t>DL8GD7369</t>
  </si>
  <si>
    <t>Both Pulley, Front Bearing, Left Mirror, Rear Brake Pad, Service</t>
  </si>
  <si>
    <t>GEETA/Nirankar</t>
  </si>
  <si>
    <t>DL8EV2983</t>
  </si>
  <si>
    <t>Meera</t>
  </si>
  <si>
    <t>DL9EV7993</t>
  </si>
  <si>
    <t>Shrikant</t>
  </si>
  <si>
    <t>Service, Chain Lube,Brake pad both, cone</t>
  </si>
  <si>
    <t>DL8GD7450</t>
  </si>
  <si>
    <t>Arjun</t>
  </si>
  <si>
    <t>DL8SCW1509</t>
  </si>
  <si>
    <t>Shabab</t>
  </si>
  <si>
    <t>Batt Ch Socket, Both Lever, Fr Br pad, Caliper, mud guard,cone</t>
  </si>
  <si>
    <t>DL8GD7516</t>
  </si>
  <si>
    <t>Tribhuvan</t>
  </si>
  <si>
    <t>Lock Set, Fr br pad, Caliper</t>
  </si>
  <si>
    <t>DL8GD2260</t>
  </si>
  <si>
    <t>Left Front Shocker</t>
  </si>
  <si>
    <t>DL8GD0561</t>
  </si>
  <si>
    <t>Shiv Sagar</t>
  </si>
  <si>
    <t>TPS, Service, Grip, Rubber Charging</t>
  </si>
  <si>
    <t>HR87P3110</t>
  </si>
  <si>
    <t>KRISHNA GODAR CHHETRI</t>
  </si>
  <si>
    <t>DL8GD7562</t>
  </si>
  <si>
    <t>Mahesh Shah</t>
  </si>
  <si>
    <t>Both Pulley, Rear Brake Pad</t>
  </si>
  <si>
    <t>DL8SCT3845</t>
  </si>
  <si>
    <t>Rajesh</t>
  </si>
  <si>
    <t>Right Brake Lever</t>
  </si>
  <si>
    <t>Both Pulley (Counter Sale)</t>
  </si>
  <si>
    <t>DL8GD7340</t>
  </si>
  <si>
    <t>Rear Bearing, Rear Brake Pad</t>
  </si>
  <si>
    <t>Kishan Kumar</t>
  </si>
  <si>
    <t>BHANU</t>
  </si>
  <si>
    <t>Rhs front shocker ,Rear brake pad</t>
  </si>
  <si>
    <t>DL8GD1941</t>
  </si>
  <si>
    <t>Front Bearing, Fr Break Pad, Rear Bearing</t>
  </si>
  <si>
    <t>DL8EV2456</t>
  </si>
  <si>
    <t>Both Break Pad, Cone</t>
  </si>
  <si>
    <t>Abhishek/Ankit</t>
  </si>
  <si>
    <t>Brake Sensor Right, Both Upper Body Cover(Main)- Red</t>
  </si>
  <si>
    <t>DL8GD3473</t>
  </si>
  <si>
    <t>Anuj</t>
  </si>
  <si>
    <t>Service, Wiring Harness, Batt Copler, Lock Set</t>
  </si>
  <si>
    <t>DL8SCS6818</t>
  </si>
  <si>
    <t>RH Brake Sensor, Caliper Service</t>
  </si>
  <si>
    <t>DL8GD6900</t>
  </si>
  <si>
    <t>Service, Thimble, Welding</t>
  </si>
  <si>
    <t>Vikram</t>
  </si>
  <si>
    <t>Rajender Singh Chauhan</t>
  </si>
  <si>
    <t>Cone</t>
  </si>
  <si>
    <t>DL8SCT7755</t>
  </si>
  <si>
    <t>Ikpreet</t>
  </si>
  <si>
    <t>Front Lock</t>
  </si>
  <si>
    <t>Need Front Tyre</t>
  </si>
  <si>
    <t>Dheeraj Bai Meena</t>
  </si>
  <si>
    <t>DL9EV8312</t>
  </si>
  <si>
    <t>DL8GD2916</t>
  </si>
  <si>
    <t>DL8GD7937</t>
  </si>
  <si>
    <t>Balender Saini</t>
  </si>
  <si>
    <t>Rahul</t>
  </si>
  <si>
    <t>Cone Set, Left Mirror</t>
  </si>
  <si>
    <t>DL8SCT5891</t>
  </si>
  <si>
    <t>Mohan Giri</t>
  </si>
  <si>
    <t>MD9R400G12A272105</t>
  </si>
  <si>
    <t>TPS, Left Hand Switch, Lock Set, Grip, Rt Front small part plastic</t>
  </si>
  <si>
    <t>DL8GD2316</t>
  </si>
  <si>
    <t>Dev</t>
  </si>
  <si>
    <t>Both Break Lever, Side Charging Socket, TPS</t>
  </si>
  <si>
    <t>DL8EV4809</t>
  </si>
  <si>
    <t>Rear Break Pad</t>
  </si>
  <si>
    <t>Amit Jain</t>
  </si>
  <si>
    <t>DL8GD0250</t>
  </si>
  <si>
    <t>Dhyanu</t>
  </si>
  <si>
    <t>DL8GD1559</t>
  </si>
  <si>
    <t>DL8EV7213</t>
  </si>
  <si>
    <t>DL8GD1604</t>
  </si>
  <si>
    <t>DL8SCT9526</t>
  </si>
  <si>
    <t>Left Br lever</t>
  </si>
  <si>
    <t>Ram</t>
  </si>
  <si>
    <t>Shivam</t>
  </si>
  <si>
    <t>Wiring Harness, Batt Coupler, Battery</t>
  </si>
  <si>
    <t>Delhi Airport</t>
  </si>
  <si>
    <t>Service,Fr Break pad, Lock Set</t>
  </si>
  <si>
    <t>DL8GD2778</t>
  </si>
  <si>
    <t>Front Bearing</t>
  </si>
  <si>
    <t>DL9EV9016</t>
  </si>
  <si>
    <t>Service, Chain Set</t>
  </si>
  <si>
    <t>DL8SCU8598</t>
  </si>
  <si>
    <t>Old Belt</t>
  </si>
  <si>
    <t>DL9EV6801</t>
  </si>
  <si>
    <t xml:space="preserve">DEEPAK </t>
  </si>
  <si>
    <t>Chain Set, Front Break Pad</t>
  </si>
  <si>
    <t>DL8GD4659</t>
  </si>
  <si>
    <t>Naresh</t>
  </si>
  <si>
    <t>Belt, Right Mirror, Rear Break Pad</t>
  </si>
  <si>
    <t>Rexa</t>
  </si>
  <si>
    <t>Rust Off</t>
  </si>
  <si>
    <t>Deepak</t>
  </si>
  <si>
    <t>Belt Gates</t>
  </si>
  <si>
    <t>DL9EV7240</t>
  </si>
  <si>
    <t>Manish</t>
  </si>
  <si>
    <t>Both Break pad, Side stand sensor, Chain Lube</t>
  </si>
  <si>
    <t>DL8GD3317</t>
  </si>
  <si>
    <t>chandra shekhar</t>
  </si>
  <si>
    <t>DL8SCV8139</t>
  </si>
  <si>
    <t>Break Service</t>
  </si>
  <si>
    <t>Manoj</t>
  </si>
  <si>
    <t>RJ02KB0641</t>
  </si>
  <si>
    <t>Bhoora Singh</t>
  </si>
  <si>
    <t>Lock Set, Both Pulley</t>
  </si>
  <si>
    <t>MD9R400G10B272373</t>
  </si>
  <si>
    <t>Both Brake Sensor, Side stand Sensor</t>
  </si>
  <si>
    <t>DL9EV8765</t>
  </si>
  <si>
    <t>Brake Thimble, Handle Loose</t>
  </si>
  <si>
    <t>DL8GD0392</t>
  </si>
  <si>
    <t>Rt Mirror, Front Disk, Fr Br Pad, Left Master Cylinder, Head Ligh Repair, Left lever, Side stand Sensor</t>
  </si>
  <si>
    <t>Rahul Kumar</t>
  </si>
  <si>
    <t>8285582925/7982861495</t>
  </si>
  <si>
    <t>DL8GD3326</t>
  </si>
  <si>
    <t>Ashish</t>
  </si>
  <si>
    <t>Left Latch, Batt Lock</t>
  </si>
  <si>
    <t>DL8GD1681</t>
  </si>
  <si>
    <t>Lock set,Front wheel bearing,rear brake pad</t>
  </si>
  <si>
    <t>yes</t>
  </si>
  <si>
    <t>DL8EV1716</t>
  </si>
  <si>
    <t>AAYUSH</t>
  </si>
  <si>
    <t>MZMBU1016R0026619</t>
  </si>
  <si>
    <t>Service ,rear brake pad,rear wheel bearing</t>
  </si>
  <si>
    <t>bill pending</t>
  </si>
  <si>
    <t>ARUN DAHIYA</t>
  </si>
  <si>
    <t>MZMBU1011N0001104</t>
  </si>
  <si>
    <t>AZAD SING</t>
  </si>
  <si>
    <t>CHASSIS CHANGE</t>
  </si>
  <si>
    <t>4500+2000(CASH)</t>
  </si>
  <si>
    <t>1800+1000(CASH)</t>
  </si>
  <si>
    <t>DL8GD2877</t>
  </si>
  <si>
    <t>Ravinder Singh</t>
  </si>
  <si>
    <t>Caliper Service</t>
  </si>
  <si>
    <t>DL8GD0566</t>
  </si>
  <si>
    <t>Jasbeer</t>
  </si>
  <si>
    <t>DL8GD0152</t>
  </si>
  <si>
    <t>PADAM DRALL</t>
  </si>
  <si>
    <t>Service, Both Break Pad(Conter Sale)</t>
  </si>
  <si>
    <t>SANDEEP NEGI</t>
  </si>
  <si>
    <t>DL9EV6910</t>
  </si>
  <si>
    <t>Handle, Chachis Alignment, Cone(FOC)</t>
  </si>
  <si>
    <t>Chain Set, Cone Set, Headlight Cover Rear</t>
  </si>
  <si>
    <t>Mono shocker Bolt, Cone Set</t>
  </si>
  <si>
    <t>DL9EV7918</t>
  </si>
  <si>
    <t xml:space="preserve">ASHISH KUMAR SINGH </t>
  </si>
  <si>
    <t>MZMFT102AR0001927</t>
  </si>
  <si>
    <t>SHAJID ALI</t>
  </si>
  <si>
    <t>Service, Indicator</t>
  </si>
  <si>
    <t>DL8GD1822</t>
  </si>
  <si>
    <t>Kamlesh kumar</t>
  </si>
  <si>
    <t>DL7GD0570</t>
  </si>
  <si>
    <t>Akram</t>
  </si>
  <si>
    <t>MZMBU1016N0010296</t>
  </si>
  <si>
    <t>Rear Brake pad, Right Breal Lever</t>
  </si>
  <si>
    <t>Female Battery coupler, Front Bearing, Fr Break Pad(v2),Handle</t>
  </si>
  <si>
    <t>UP16ED9352</t>
  </si>
  <si>
    <t>Pankaj</t>
  </si>
  <si>
    <t>Both Pulley</t>
  </si>
  <si>
    <t>MZMBU1031R0000407</t>
  </si>
  <si>
    <t>DL8GD4786</t>
  </si>
  <si>
    <t>Narender</t>
  </si>
  <si>
    <t>MZMFU1019S0002971</t>
  </si>
  <si>
    <t>Sanjeev</t>
  </si>
  <si>
    <t>DL9EV8899</t>
  </si>
  <si>
    <t>cash</t>
  </si>
  <si>
    <t>DL9EV6890</t>
  </si>
  <si>
    <t>PARDEEP KUMAR</t>
  </si>
  <si>
    <t xml:space="preserve">Side stand </t>
  </si>
  <si>
    <t>DL8EV5015</t>
  </si>
  <si>
    <t>DL8GD1002</t>
  </si>
  <si>
    <t>Prashant</t>
  </si>
  <si>
    <t>Lock Set</t>
  </si>
  <si>
    <t>DL8GD3132</t>
  </si>
  <si>
    <t>Sanjay</t>
  </si>
  <si>
    <t>Cone Set, Tyre</t>
  </si>
  <si>
    <t>DL8SCT4296</t>
  </si>
  <si>
    <t>Surender Naagar</t>
  </si>
  <si>
    <t>MD9R400G11A272129</t>
  </si>
  <si>
    <t>DL9EV6755</t>
  </si>
  <si>
    <t xml:space="preserve">TEJ KUMAR SAHU </t>
  </si>
  <si>
    <t>DL8GD0694</t>
  </si>
  <si>
    <t>Tarun</t>
  </si>
  <si>
    <t>DL9EV9351</t>
  </si>
  <si>
    <t>Harsh  </t>
  </si>
  <si>
    <t>MZMFT1026S0007430</t>
  </si>
  <si>
    <t>Service, Rear Break Pad, Cone</t>
  </si>
  <si>
    <t>Wiring ,rear caliper service,front wheel bearing,Lock set,Rear Break Pad,Welding,Tie Belt</t>
  </si>
  <si>
    <t>Lal Babu singh</t>
  </si>
  <si>
    <t>DL8GD0796</t>
  </si>
  <si>
    <t>DL6EV1224</t>
  </si>
  <si>
    <t>Khushboo</t>
  </si>
  <si>
    <t>Service, Chain Lube, Front Mud Guard</t>
  </si>
  <si>
    <t>DL9EV7047</t>
  </si>
  <si>
    <t>MZMFT102AR0001832</t>
  </si>
  <si>
    <t xml:space="preserve">AASHISH   </t>
  </si>
  <si>
    <t>DL8GD0785</t>
  </si>
  <si>
    <t>Service, Rt Brake Sensor, Wire</t>
  </si>
  <si>
    <t>chandan</t>
  </si>
  <si>
    <t>DL9EV8464</t>
  </si>
  <si>
    <t>Gagan</t>
  </si>
  <si>
    <t>Service, Chain Lube</t>
  </si>
  <si>
    <t>DL8EV2458</t>
  </si>
  <si>
    <t>Abdul Kaleem</t>
  </si>
  <si>
    <t>Service, Chain Set, Lock Plate, Rear Break Pad</t>
  </si>
  <si>
    <t>DL8GD3075</t>
  </si>
  <si>
    <t xml:space="preserve">pallav jaiswal  </t>
  </si>
  <si>
    <t>Service, Front Break Pad, Wire Hook</t>
  </si>
  <si>
    <t>UP17AA3589</t>
  </si>
  <si>
    <t>Kapil</t>
  </si>
  <si>
    <t>DL8GD4748</t>
  </si>
  <si>
    <t>Babu Lal</t>
  </si>
  <si>
    <t>Horn Thimble</t>
  </si>
  <si>
    <t>Mono Shocker(Counter Sale)</t>
  </si>
  <si>
    <t>Service, Cone, rear Break Pad</t>
  </si>
  <si>
    <t>SHANTI NIKETAN RESIDENTS ASSOCIATION</t>
  </si>
  <si>
    <t>DL8GD7789</t>
  </si>
  <si>
    <t>Service, Both Break Pad, Front Bearing</t>
  </si>
  <si>
    <t>DILEEP KRISHNAN</t>
  </si>
  <si>
    <t>DL8GD1885</t>
  </si>
  <si>
    <t>DL8GD2231</t>
  </si>
  <si>
    <t>Anand Kumar Gupta</t>
  </si>
  <si>
    <t>DL8GD4512</t>
  </si>
  <si>
    <t xml:space="preserve">Shyam </t>
  </si>
  <si>
    <t>Rear Caliper Service</t>
  </si>
  <si>
    <t>Belt(Counter Sale)</t>
  </si>
  <si>
    <t>HR51CQ2612</t>
  </si>
  <si>
    <t>SHAKEEL</t>
  </si>
  <si>
    <t>Chain Lube, Chain Adjuster, Horn, L Indicator, RR br pad</t>
  </si>
  <si>
    <t>DL8GD1456</t>
  </si>
  <si>
    <t>DL8GD0128</t>
  </si>
  <si>
    <t>Lt Lever, Headlight repair</t>
  </si>
  <si>
    <t>Side stand, Rt Lever, Rear Shocker, Stand Nut, Both Br Pad, Rt Foot Rest</t>
  </si>
  <si>
    <t>DL8SCV8531</t>
  </si>
  <si>
    <t>JAI PRAKASH</t>
  </si>
  <si>
    <t>Cone,Rr brake pad,Lhs lever,Rr caliper service,</t>
  </si>
  <si>
    <t xml:space="preserve">kishor kumar  </t>
  </si>
  <si>
    <t>DL8GD0459</t>
  </si>
  <si>
    <t>Keshav</t>
  </si>
  <si>
    <t>Both Lever and Grip</t>
  </si>
  <si>
    <t>DL8GD0982</t>
  </si>
  <si>
    <t>DL8GD2173</t>
  </si>
  <si>
    <t>SONU</t>
  </si>
  <si>
    <t>TANMAY</t>
  </si>
  <si>
    <t xml:space="preserve">charging socket,Battery coupler,Horn </t>
  </si>
  <si>
    <t>Front Rhs Shocker Repair</t>
  </si>
  <si>
    <t>DL8GD3382</t>
  </si>
  <si>
    <t>PRAKASH</t>
  </si>
  <si>
    <t>BLANK</t>
  </si>
  <si>
    <t>IGNITION LOCK,Front decoration part left,lhs front indicator</t>
  </si>
  <si>
    <t>DL8GD3798</t>
  </si>
  <si>
    <t>Meter, Lt Brake Lever</t>
  </si>
  <si>
    <t>Sonia/ Sandeep</t>
  </si>
  <si>
    <t>NEELAM</t>
  </si>
  <si>
    <t>SERVICE ONLINE</t>
  </si>
  <si>
    <t>DL8GD6577</t>
  </si>
  <si>
    <t>Handle</t>
  </si>
  <si>
    <t xml:space="preserve">Surinder   </t>
  </si>
  <si>
    <t>Mono Shocker(Ol), Rear Bearing, Front Bearing, Welding</t>
  </si>
  <si>
    <t>Kapil Verma</t>
  </si>
  <si>
    <t>DL9EV6980</t>
  </si>
  <si>
    <t xml:space="preserve">SERVICE </t>
  </si>
  <si>
    <t>DEBASISH DAS</t>
  </si>
  <si>
    <t>DL9EV6802</t>
  </si>
  <si>
    <t>Service, Cone,Rear Brake pad, Indicator</t>
  </si>
  <si>
    <t>DL8GD2017</t>
  </si>
  <si>
    <t>Mono Shocker(Ol), Side Stand, Stand Sensor, Lt Footrest, Stand spring, Welding, Shocker Bolt, Side stand Bolt, Handle</t>
  </si>
  <si>
    <t>Amit Sharma</t>
  </si>
  <si>
    <t>LHS Lever</t>
  </si>
  <si>
    <t>Controller</t>
  </si>
  <si>
    <t xml:space="preserve">Tanuja Sharma  </t>
  </si>
  <si>
    <t>DL9EV8436</t>
  </si>
  <si>
    <t>Service, Cone,Rear Brake pad, Chain Set, Thimble</t>
  </si>
  <si>
    <t>DL8GD1830</t>
  </si>
  <si>
    <t>Service, Rr Bearing, Fr Barke Pad,Fr Caliper, Old Tyre Front, Lft Foot rest, Tyre Nalki, Cone</t>
  </si>
  <si>
    <t>jitender</t>
  </si>
  <si>
    <t>DL8EV1606</t>
  </si>
  <si>
    <t>Arun</t>
  </si>
  <si>
    <t>Caliper Service, Fr Brake pad</t>
  </si>
  <si>
    <t>DL8GD4464</t>
  </si>
  <si>
    <t>Pawan</t>
  </si>
  <si>
    <t>Female Batt Coupler</t>
  </si>
  <si>
    <t>DL8GD4060</t>
  </si>
  <si>
    <t>Narender Dabas</t>
  </si>
  <si>
    <t>DC DC, Service</t>
  </si>
  <si>
    <t>YOGESH KUMAR</t>
  </si>
  <si>
    <t>DL9EV6920</t>
  </si>
  <si>
    <t>DL8EV5697</t>
  </si>
  <si>
    <t>Subhash/Manoj</t>
  </si>
  <si>
    <t>DL8GD1097</t>
  </si>
  <si>
    <t>Frnt Br Pad, Fr.Caliper Service, Both Lever, Thimble</t>
  </si>
  <si>
    <t>HR98P5065</t>
  </si>
  <si>
    <t>Vandana</t>
  </si>
  <si>
    <t>Service, Front br Pad</t>
  </si>
  <si>
    <t>Metre, Healight Front and back, Left bracket, Chachis aligment, Shocker</t>
  </si>
  <si>
    <t>DL8EV2696</t>
  </si>
  <si>
    <t>Service, Front Barke Pad, Cone</t>
  </si>
  <si>
    <t>Shiv Shankar</t>
  </si>
  <si>
    <t>DL8EV3389</t>
  </si>
  <si>
    <t>ChainSet</t>
  </si>
  <si>
    <t xml:space="preserve">PANKAJ  KUMAR  PAL </t>
  </si>
  <si>
    <t>Batt Socket</t>
  </si>
  <si>
    <t xml:space="preserve">Kishan kumar  </t>
  </si>
  <si>
    <t>Service, Rear Br Pad</t>
  </si>
  <si>
    <t>Front Brake Pad</t>
  </si>
  <si>
    <t>DL9EV7153</t>
  </si>
  <si>
    <t>ChainSet, Adjuster</t>
  </si>
  <si>
    <t>DL8GD4769</t>
  </si>
  <si>
    <t>YOGINDER SINGH</t>
  </si>
  <si>
    <t>Handle,  Break Pad RR, Caliper Front LBN with Break Pad</t>
  </si>
  <si>
    <t>DL8GD7488</t>
  </si>
  <si>
    <t>Service, Front break Pad</t>
  </si>
  <si>
    <t>Ajay</t>
  </si>
  <si>
    <t>DL8EV2777</t>
  </si>
  <si>
    <t>88267 61297</t>
  </si>
  <si>
    <t>Side Stand, Nut, Spring</t>
  </si>
  <si>
    <t>Ignition Lock</t>
  </si>
  <si>
    <t>AYANK KUHAR</t>
  </si>
  <si>
    <t>DL8GD1467</t>
  </si>
  <si>
    <t>DL8SCW4196</t>
  </si>
  <si>
    <t>Kamal</t>
  </si>
  <si>
    <t>Lock set , Front Caliper, Lever Left</t>
  </si>
  <si>
    <t>Pooja GoswamI/Praksh</t>
  </si>
  <si>
    <t>DL8GD1829</t>
  </si>
  <si>
    <t>Naveen</t>
  </si>
  <si>
    <t>60000 aprox</t>
  </si>
  <si>
    <t>both pulli set,both brake pad,both lever,brake oil,lhs front indicator</t>
  </si>
  <si>
    <t>online+cash(5000)</t>
  </si>
  <si>
    <t>DL8GD1747</t>
  </si>
  <si>
    <t>SOMESH</t>
  </si>
  <si>
    <t>LRHS LEVER,BELT ADJUST</t>
  </si>
  <si>
    <t>DL9EV9511</t>
  </si>
  <si>
    <t>Rear Bearing Oil Seal</t>
  </si>
  <si>
    <t>Rear Bearing, Service</t>
  </si>
  <si>
    <t>8700604407/9540399879</t>
  </si>
  <si>
    <t>Usha Devi / Santosh</t>
  </si>
  <si>
    <t>Mono Shocker, Shocker Nut, Rt Lever, Caliper Service, No Plate Light</t>
  </si>
  <si>
    <t>DL8GD2829</t>
  </si>
  <si>
    <t>Yogita</t>
  </si>
  <si>
    <t>Female Batt Coupler, Lt Text Logo</t>
  </si>
  <si>
    <t>DL9EV8988</t>
  </si>
  <si>
    <t>Yash Dev</t>
  </si>
  <si>
    <t>Side Charging Socket</t>
  </si>
  <si>
    <t>DL8SCS7053</t>
  </si>
  <si>
    <t>Akshat Jain</t>
  </si>
  <si>
    <t>Chasis, Side stand, Charging Soket, Arm Fender, LHS Mirror, Tie Belt, Cone Set</t>
  </si>
  <si>
    <t>DL8SCW0596</t>
  </si>
  <si>
    <t>MANISH</t>
  </si>
  <si>
    <t>Service ,Cone set ,Horn thimble</t>
  </si>
  <si>
    <t>Jatin/Sunny</t>
  </si>
  <si>
    <t>Handel change,</t>
  </si>
  <si>
    <t>DL8SCT8593</t>
  </si>
  <si>
    <t>Sumit</t>
  </si>
  <si>
    <t>Head Light Repair, RR brake pad, Lt Shocker(FOC Complaint)</t>
  </si>
  <si>
    <t xml:space="preserve">Mono Shocker, Nut, RHS shocker (FOC complaint), </t>
  </si>
  <si>
    <t>DL8GD3265</t>
  </si>
  <si>
    <t>Front Mud Guard- Red</t>
  </si>
  <si>
    <t>Bhupender kumar singh</t>
  </si>
  <si>
    <t>DL8GD0525</t>
  </si>
  <si>
    <t>Service, Front Break Pad</t>
  </si>
  <si>
    <t>Kamal kumar</t>
  </si>
  <si>
    <t>DL8GD3987</t>
  </si>
  <si>
    <t>Service, Handle Tight(Cone Set Not Changed)</t>
  </si>
  <si>
    <t>DL8GD0806</t>
  </si>
  <si>
    <t>Lock set, Service</t>
  </si>
  <si>
    <t>Ankit Singh</t>
  </si>
  <si>
    <t>Service, Pin Cover</t>
  </si>
  <si>
    <t>DL8GD8979</t>
  </si>
  <si>
    <t xml:space="preserve">Anchal Kumar  </t>
  </si>
  <si>
    <t>Both Break Pad, Horn, Service, Break Sensor</t>
  </si>
  <si>
    <t>Front Bearing, RHS Shocker(FOC Complaint)</t>
  </si>
  <si>
    <t>Rear Break Pad, Left Lever</t>
  </si>
  <si>
    <t>SUMIT</t>
  </si>
  <si>
    <t>DL9EV6973</t>
  </si>
  <si>
    <t>DL8SCV0597</t>
  </si>
  <si>
    <t>Umesh</t>
  </si>
  <si>
    <t>Lt Master Cyl, Rr Bearing, Head Light, Rt Shocker Repair, Tank Lock, Welding, Rear Br Pad,Mud Guard, Side Charging Socket</t>
  </si>
  <si>
    <t xml:space="preserve">Deepak </t>
  </si>
  <si>
    <t>DL8GD2526</t>
  </si>
  <si>
    <t>Vikas</t>
  </si>
  <si>
    <t>Belt Sale</t>
  </si>
  <si>
    <t>DL8GD5957</t>
  </si>
  <si>
    <t>Belt And Pulley</t>
  </si>
  <si>
    <t>SERVICE ONLINE (Service Done-22/1/26)</t>
  </si>
  <si>
    <t>Sunday</t>
  </si>
  <si>
    <t>DL8EV8430</t>
  </si>
  <si>
    <t>Garima</t>
  </si>
  <si>
    <t>service,handel tight,body polish,chain lube</t>
  </si>
  <si>
    <t>Front Break Pad Sale</t>
  </si>
  <si>
    <t>Girraj meena</t>
  </si>
  <si>
    <t>DL8GD5969</t>
  </si>
  <si>
    <t>Praveer kumar Singh</t>
  </si>
  <si>
    <t>DL8GD3014</t>
  </si>
  <si>
    <t>Battery Repair, Wire Harness, Battery Copler</t>
  </si>
  <si>
    <t>UP23AJ9481</t>
  </si>
  <si>
    <t>HEMANT GUPTA</t>
  </si>
  <si>
    <t>Poth Pulley, belt, Side Stand, Lock Set</t>
  </si>
  <si>
    <t>DL8GD0860</t>
  </si>
  <si>
    <t>Ankit Kumar saraswat</t>
  </si>
  <si>
    <t>Servicve</t>
  </si>
  <si>
    <t>DL8SCT6309</t>
  </si>
  <si>
    <t>Raju</t>
  </si>
  <si>
    <t>Service, Both Lever, Rear Bearing, Upper Storage Left, Rear Fender+support,Welding,Reflector</t>
  </si>
  <si>
    <t>Both Mirror</t>
  </si>
  <si>
    <t>Sandeep sharma</t>
  </si>
  <si>
    <t>DL9EV8044</t>
  </si>
  <si>
    <t>Service, Wash, Side stand, Lever</t>
  </si>
  <si>
    <t>DC DC Wiring</t>
  </si>
  <si>
    <t>DL8GD0717</t>
  </si>
  <si>
    <t>RAJENDER</t>
  </si>
  <si>
    <t>VARUN KUMAR SINGH</t>
  </si>
  <si>
    <t>DL8GD1640</t>
  </si>
  <si>
    <t>DL8GD7635</t>
  </si>
  <si>
    <t>SK Dass</t>
  </si>
  <si>
    <t>Both Break Pad</t>
  </si>
  <si>
    <t>MZMBU1013P0021052</t>
  </si>
  <si>
    <t>DL1SAF3355</t>
  </si>
  <si>
    <t>Handle, Right Lever</t>
  </si>
  <si>
    <t xml:space="preserve">Ashwini Kumar Singh </t>
  </si>
  <si>
    <t>Both Master Cylinder</t>
  </si>
  <si>
    <t>CONE(FOC), Chain Lube</t>
  </si>
  <si>
    <t>DL8GD3792</t>
  </si>
  <si>
    <t>Binesh kumar</t>
  </si>
  <si>
    <t>Belt ,Cone set,Front brake pad,</t>
  </si>
  <si>
    <t>DL8GD7065</t>
  </si>
  <si>
    <t>Lhs lever,Horn Thimble,Service,Iock set,Mcb</t>
  </si>
  <si>
    <t>DL8GD8353</t>
  </si>
  <si>
    <t>Harish</t>
  </si>
  <si>
    <t>Side Stand, Mirror</t>
  </si>
  <si>
    <t>HR26FP3795</t>
  </si>
  <si>
    <t>Chain Set, Rear Brake Pad</t>
  </si>
  <si>
    <t>DL8GD5882</t>
  </si>
  <si>
    <t>Saurav</t>
  </si>
  <si>
    <t>Side Stand, Stand Sensor, Rear Br Pad, Coupler(Stand)</t>
  </si>
  <si>
    <t>DL8SCT8745</t>
  </si>
  <si>
    <t>Both Pulley, Belt, Break Pad</t>
  </si>
  <si>
    <t>DL8EV2751</t>
  </si>
  <si>
    <t>Mukesh</t>
  </si>
  <si>
    <t>Front Rhs Shocker FOC,BELT</t>
  </si>
  <si>
    <t>DL9EV6914</t>
  </si>
  <si>
    <t>Chain set, ,Chain guide, Chain Lube</t>
  </si>
  <si>
    <t>SANT LAL ROHILLA  </t>
  </si>
  <si>
    <t>Sunil Kumar</t>
  </si>
  <si>
    <t>DL8GD7974</t>
  </si>
  <si>
    <t>Front Pulley, LHS Break Sensor</t>
  </si>
  <si>
    <t>Chander Shekhar</t>
  </si>
  <si>
    <t>Mono Shocker, Welding Nut</t>
  </si>
  <si>
    <t>DL8SCV2441</t>
  </si>
  <si>
    <t>HR26FH8073</t>
  </si>
  <si>
    <t>RAJPAL</t>
  </si>
  <si>
    <t>REAR FENDOR COUNTER SALE</t>
  </si>
  <si>
    <t>lock set,FRONT BRAKE PAD</t>
  </si>
  <si>
    <t>DL8GD0538</t>
  </si>
  <si>
    <t xml:space="preserve">Roop singh  </t>
  </si>
  <si>
    <t>Lock Set, Wiring, Charging Socket</t>
  </si>
  <si>
    <t>RAXA SECURITY SERVICES LIMITED</t>
  </si>
  <si>
    <t>Service, Break Pad Rear, Side Stand</t>
  </si>
  <si>
    <t>DL9EV7282</t>
  </si>
  <si>
    <t>DL9EV7242</t>
  </si>
  <si>
    <t>Service, Both break Pad, Left lever, Handle</t>
  </si>
  <si>
    <t>Front Break Pad V2</t>
  </si>
  <si>
    <t>DL8EV6811</t>
  </si>
  <si>
    <t>Poshank Khanna</t>
  </si>
  <si>
    <t>Rajender</t>
  </si>
  <si>
    <t>Front bearing</t>
  </si>
  <si>
    <t>DL9EV7271</t>
  </si>
  <si>
    <t>Rexa Securities</t>
  </si>
  <si>
    <t>Service, Rear Bearing, Fr Br Pad, Rt Lever</t>
  </si>
  <si>
    <t>Dl8GD1044</t>
  </si>
  <si>
    <t>Ankit</t>
  </si>
  <si>
    <t>Both Pulley and Belt</t>
  </si>
  <si>
    <t>DL8SCT8909</t>
  </si>
  <si>
    <t xml:space="preserve">Both Pulley </t>
  </si>
  <si>
    <t>Kanchan</t>
  </si>
  <si>
    <t>DL8GD1451</t>
  </si>
  <si>
    <t>Battery Cupler, TPS</t>
  </si>
  <si>
    <t>BABU LAL</t>
  </si>
  <si>
    <t xml:space="preserve">Ankit Kumar saraswat </t>
  </si>
  <si>
    <t>Service, Rear Caliper Service</t>
  </si>
  <si>
    <t>DL8GD1427</t>
  </si>
  <si>
    <t>Abhinav</t>
  </si>
  <si>
    <t>Meter, Upper Cover</t>
  </si>
  <si>
    <t>DL8GD3749</t>
  </si>
  <si>
    <t>RAHUL</t>
  </si>
  <si>
    <t>Service,Battery Coupler,Front Caliper plate (old) lhs brake switch,</t>
  </si>
  <si>
    <t>MADAN LAL</t>
  </si>
  <si>
    <t>DL8GD0569</t>
  </si>
  <si>
    <t>DL9EV7241</t>
  </si>
  <si>
    <t>Service, Handle, Indicator, Front Break Pad</t>
  </si>
  <si>
    <t>Service, Cone, Handle, Rear Break Pad, Front Indicator</t>
  </si>
  <si>
    <t>REAR FENDOR Nut Welding</t>
  </si>
  <si>
    <t>Front Caliper Service</t>
  </si>
  <si>
    <t>Anshul</t>
  </si>
  <si>
    <t>DL7GD0548</t>
  </si>
  <si>
    <t>Mono Shocker</t>
  </si>
  <si>
    <t>Cash(2000)</t>
  </si>
  <si>
    <t>Laxmi Prasad Adhikari</t>
  </si>
  <si>
    <t>DL8GD3478</t>
  </si>
  <si>
    <t>LHS Switch</t>
  </si>
  <si>
    <t>DL8GD6342</t>
  </si>
  <si>
    <t>Ramakant Singh</t>
  </si>
  <si>
    <t>Handle, T Alignment</t>
  </si>
  <si>
    <t>DL8GD4481</t>
  </si>
  <si>
    <t>AKHILESH</t>
  </si>
  <si>
    <t>Service, Front Break Pad, Front Wire Hook</t>
  </si>
  <si>
    <t>DL8GD0599</t>
  </si>
  <si>
    <t>VISHAL SETHI</t>
  </si>
  <si>
    <t>Battery Cupler, Front Bearing</t>
  </si>
  <si>
    <t>Belt(L) Counter Sale</t>
  </si>
  <si>
    <t>DL8SCV9688</t>
  </si>
  <si>
    <t>Deepak Malik</t>
  </si>
  <si>
    <t>DL8SCU2296</t>
  </si>
  <si>
    <t>Manish Rawat</t>
  </si>
  <si>
    <t>Battery Cupler, Latch lever 2</t>
  </si>
  <si>
    <t>DL8GD0439</t>
  </si>
  <si>
    <t>Rakesh Kumar Sharma  </t>
  </si>
  <si>
    <t>Mono Shocker, Seat Latch, Service</t>
  </si>
  <si>
    <t>DL8SCT4520</t>
  </si>
  <si>
    <t>Parag</t>
  </si>
  <si>
    <t>Right Lever, Rear Br Pad, Front Mud Guard, Both Mirror</t>
  </si>
  <si>
    <t>DLSCS9153</t>
  </si>
  <si>
    <t>TPS, Break Sensor, Wire, Grip</t>
  </si>
  <si>
    <t xml:space="preserve">Sunil   </t>
  </si>
  <si>
    <t>DL8EV2821</t>
  </si>
  <si>
    <t>Rishi Kumar</t>
  </si>
  <si>
    <t>Front Beraek Pad</t>
  </si>
  <si>
    <t>Both Break Pad, Rt Break Sensor, Wire Harness</t>
  </si>
  <si>
    <t>TRIBHUWAN KUMAR</t>
  </si>
  <si>
    <t>Saree Guard, Side Charging Socket, Spring, Side Stand, Right Lever, Tyre</t>
  </si>
  <si>
    <t>DL8GD0710</t>
  </si>
  <si>
    <t>Chasis, Cone Set, Nut Bolt Set. Both Break Pad</t>
  </si>
  <si>
    <t>Ram Rattan/Rakesh</t>
  </si>
  <si>
    <t>DL8GD3392</t>
  </si>
  <si>
    <t>Cash (500)</t>
  </si>
  <si>
    <t>Cash (100)</t>
  </si>
  <si>
    <t>Cash (1000)</t>
  </si>
  <si>
    <t>TPS (Counter Sale)</t>
  </si>
  <si>
    <t>DL8SCS-6818</t>
  </si>
  <si>
    <t>Chasis, Cone Set, Nut Bolt Set. Side stand</t>
  </si>
  <si>
    <t>DL8GD4739</t>
  </si>
  <si>
    <t>Surender</t>
  </si>
  <si>
    <t>Left Side Shocker</t>
  </si>
  <si>
    <t>Stand Sensor</t>
  </si>
  <si>
    <t>DL8GD5741</t>
  </si>
  <si>
    <t>LHS Switch, Batt Coupler, Wire, Lock Set, Both Break Pad</t>
  </si>
  <si>
    <t>Front Caleper Service</t>
  </si>
  <si>
    <t>DL8GD6213</t>
  </si>
  <si>
    <t>Azahar</t>
  </si>
  <si>
    <t>Rt Shocker, Mud Guard Red, Wire Clip</t>
  </si>
  <si>
    <t>Service, Cone Set</t>
  </si>
  <si>
    <t>RAJNISH KUMAR</t>
  </si>
  <si>
    <t>DL9EV7974</t>
  </si>
  <si>
    <t>MZMBU1039S0003712</t>
  </si>
  <si>
    <t>Rakesh/Meenu</t>
  </si>
  <si>
    <t xml:space="preserve">TPS </t>
  </si>
  <si>
    <t>Rahul Gupta</t>
  </si>
  <si>
    <t>DL8GD2988</t>
  </si>
  <si>
    <t>Rear Bearing, Right Lever, Both Break Pad</t>
  </si>
  <si>
    <t>MUNNA KUMAR</t>
  </si>
  <si>
    <t>DL6EV2364</t>
  </si>
  <si>
    <t>DL9EV7058</t>
  </si>
  <si>
    <t>DURGESH CHANDRA AGNIHOTRI</t>
  </si>
  <si>
    <t>Service, RHS Front Decoration, Caliper Plate</t>
  </si>
  <si>
    <t>Sachin Dagar</t>
  </si>
  <si>
    <t>DL9EV8289</t>
  </si>
  <si>
    <t>SerVice Online</t>
  </si>
  <si>
    <t>vipin kumar verma</t>
  </si>
  <si>
    <t>DL8GD3213</t>
  </si>
  <si>
    <t>Front Bearing, LHS Switch, Thimble</t>
  </si>
  <si>
    <t>DL8GD2855</t>
  </si>
  <si>
    <t>Rishal</t>
  </si>
  <si>
    <t>Mud Gaurd (old)</t>
  </si>
  <si>
    <t>Left Break Lever, Front Break Pad</t>
  </si>
  <si>
    <t>DL9EV6308</t>
  </si>
  <si>
    <t>Ramesh Gupta</t>
  </si>
  <si>
    <t>Front Mud Guard</t>
  </si>
  <si>
    <t>SIDHARTH</t>
  </si>
  <si>
    <t>DL8GD8534</t>
  </si>
  <si>
    <t>Service, Front Break Pad, Thimble</t>
  </si>
  <si>
    <t>ANIL KUMAR</t>
  </si>
  <si>
    <t>DL6EV1943</t>
  </si>
  <si>
    <t>Right Break Lever</t>
  </si>
  <si>
    <t>Charger Repair</t>
  </si>
  <si>
    <t>Both Break Pad (Counter sale)</t>
  </si>
  <si>
    <t>DL8GD6014</t>
  </si>
  <si>
    <t>Nigam</t>
  </si>
  <si>
    <t>DL8GD1120</t>
  </si>
  <si>
    <t>Belt Counter Sale</t>
  </si>
  <si>
    <t>Chain Set</t>
  </si>
  <si>
    <t>Sumit(Deepak Mechanic)</t>
  </si>
  <si>
    <t>DL8GD7301</t>
  </si>
  <si>
    <t>Raju Yadav</t>
  </si>
  <si>
    <t>Cash 1000</t>
  </si>
  <si>
    <t>ARBIND KUMAR</t>
  </si>
  <si>
    <t>DL8GD7899</t>
  </si>
  <si>
    <t>DL8GD0829</t>
  </si>
  <si>
    <t>Front Break Pad V1, Front Caliper Service</t>
  </si>
  <si>
    <t>Vijay Kumar</t>
  </si>
  <si>
    <t>DES RAJ GAUTAM</t>
  </si>
  <si>
    <t>SERVICE ,Both brake pad</t>
  </si>
  <si>
    <t>Battery Coupler</t>
  </si>
  <si>
    <t>DL8GD3865</t>
  </si>
  <si>
    <t>Sandeep Sharma</t>
  </si>
  <si>
    <t>DL8GD3619</t>
  </si>
  <si>
    <t>Both Caliper Service</t>
  </si>
  <si>
    <t>DL8GD7803</t>
  </si>
  <si>
    <t>SNIGDHA TANWAR  </t>
  </si>
  <si>
    <t>Service Both Break Pad</t>
  </si>
  <si>
    <t>Rear Break Pad and Caliper Adjustment and Fork Adjustment</t>
  </si>
  <si>
    <t>BIOROLES AUTOMATION SYSTEMS PVT</t>
  </si>
  <si>
    <t>DL8GD2340</t>
  </si>
  <si>
    <t>Belt</t>
  </si>
  <si>
    <t>Vijay</t>
  </si>
  <si>
    <t>DL8GD5914</t>
  </si>
  <si>
    <t>DL8GD3178</t>
  </si>
  <si>
    <t>Ula Ram</t>
  </si>
  <si>
    <t>DL8GD1167</t>
  </si>
  <si>
    <t xml:space="preserve">VISHAL </t>
  </si>
  <si>
    <t>DL8GD1126</t>
  </si>
  <si>
    <t>Dharmendra</t>
  </si>
  <si>
    <t>Cone Set, Both Break Pad, Caliper Service, Handle nut, Service</t>
  </si>
  <si>
    <t>DL8GD3298</t>
  </si>
  <si>
    <t>Rajeev</t>
  </si>
  <si>
    <t>Hall Sensor, Motor Cleaning</t>
  </si>
  <si>
    <t>DL8GD3636</t>
  </si>
  <si>
    <t>KAPIL</t>
  </si>
  <si>
    <t>DL8SCT6095</t>
  </si>
  <si>
    <t>Ajeet Kumar</t>
  </si>
  <si>
    <t>DL8GD7896</t>
  </si>
  <si>
    <t>Binesh</t>
  </si>
  <si>
    <t>Charging Socket, Both Break Pad, Wire Hook, LH Switch</t>
  </si>
  <si>
    <t>DL8GD6517</t>
  </si>
  <si>
    <t>Akhil</t>
  </si>
  <si>
    <t>Dashrath Kumar</t>
  </si>
  <si>
    <t>DL9EV8039</t>
  </si>
  <si>
    <t>Service, Thimble</t>
  </si>
  <si>
    <t>HR16Z1694</t>
  </si>
  <si>
    <t>Service, Both Bearing, Both Break Pad, Lt Lever</t>
  </si>
  <si>
    <t>DL8GD2722</t>
  </si>
  <si>
    <t>Amarjeet</t>
  </si>
  <si>
    <t>DL8GD9301</t>
  </si>
  <si>
    <t>DL8GD0347</t>
  </si>
  <si>
    <t>Muhammad Asfar</t>
  </si>
  <si>
    <t>Service, Both Break Pad, Front Bearing,Handle, Both Lever, Rear Indicator, RHS Foot Rest</t>
  </si>
  <si>
    <t>front Break Pad, Both caliper service</t>
  </si>
  <si>
    <t>Darbar Singh</t>
  </si>
  <si>
    <t>MZMFU1013S0000516</t>
  </si>
  <si>
    <t>9582561767/9210033244</t>
  </si>
  <si>
    <t>Service, Cone Set, Chain Lube, Rear Br Pad</t>
  </si>
  <si>
    <t>DL8GD1890</t>
  </si>
  <si>
    <t>Both Break Lever, Side stand</t>
  </si>
  <si>
    <t>Roshan Lal</t>
  </si>
  <si>
    <t>DL8GD6496</t>
  </si>
  <si>
    <t>Parveen kumar/Dinesh</t>
  </si>
  <si>
    <t>DL8GD3267</t>
  </si>
  <si>
    <t>DL9EV7528</t>
  </si>
  <si>
    <t>Both Break Pad, Cone Set</t>
  </si>
  <si>
    <t>Vineet Dahiya</t>
  </si>
  <si>
    <t>Cash 1900</t>
  </si>
  <si>
    <t>TPS switch</t>
  </si>
  <si>
    <t>Ajeet Singh</t>
  </si>
  <si>
    <t>Stand, Front Br Pad(RV1), Rear Br Pad</t>
  </si>
  <si>
    <t>DL8GD2781</t>
  </si>
  <si>
    <t>DL8SCU0730</t>
  </si>
  <si>
    <t>Shyam Singh</t>
  </si>
  <si>
    <t>LHS shocker Repair, Mono Shocker, Front lt deco</t>
  </si>
  <si>
    <t>Side Stand Sensor, Mirror</t>
  </si>
  <si>
    <t>Front Break Pad(RV1)</t>
  </si>
  <si>
    <t>DL9EV6418</t>
  </si>
  <si>
    <t>Hari Singh</t>
  </si>
  <si>
    <t>Left Mirror, Left Brake lever</t>
  </si>
  <si>
    <t>DL8EV3121</t>
  </si>
  <si>
    <t>Neelam</t>
  </si>
  <si>
    <t>Service(Online)</t>
  </si>
  <si>
    <t>Rajeev kumar</t>
  </si>
  <si>
    <t>DL8GD0943</t>
  </si>
  <si>
    <t>Service,sponge,front brake pad</t>
  </si>
  <si>
    <t>UMESH CHANDRA PANDEY</t>
  </si>
  <si>
    <t>DL8GD3787</t>
  </si>
  <si>
    <t>Belt, Both Break Pad, Both brake switch, Hook</t>
  </si>
  <si>
    <t>Kuldeep</t>
  </si>
  <si>
    <t>DL9EV9057</t>
  </si>
  <si>
    <t>DL9EV7243</t>
  </si>
  <si>
    <t>Rexa Security</t>
  </si>
  <si>
    <t>Pulley, Lt Lever, Foot Rest, Stand Sensor</t>
  </si>
  <si>
    <t>DL8GD1704</t>
  </si>
  <si>
    <t>Jay prakash</t>
  </si>
  <si>
    <t>Service Online</t>
  </si>
  <si>
    <t>Left Lever, Both Break Pad</t>
  </si>
  <si>
    <t>DL8GD8310</t>
  </si>
  <si>
    <t>Amar Kumar</t>
  </si>
  <si>
    <t>Service, Side stand sensor</t>
  </si>
  <si>
    <t>Abhishek Yadav</t>
  </si>
  <si>
    <t>DL8GD3303</t>
  </si>
  <si>
    <t>Alok</t>
  </si>
  <si>
    <t>Lock set, Front Break Pad, Caliper</t>
  </si>
  <si>
    <t>Belt Adjustment Nut</t>
  </si>
  <si>
    <t>DL8GD3475</t>
  </si>
  <si>
    <t>Rear Bearing</t>
  </si>
  <si>
    <t>Laxmi Prasad</t>
  </si>
  <si>
    <t>HIMANSHU LAWADIA</t>
  </si>
  <si>
    <t>DL8GD4161</t>
  </si>
  <si>
    <t>DL8GD5992</t>
  </si>
  <si>
    <t>Female Batt coupler, Wiring harness, Both Br Pad, No Plate light</t>
  </si>
  <si>
    <t>DL8SCU4771</t>
  </si>
  <si>
    <t>Left Shocker, Front Break pad</t>
  </si>
  <si>
    <t>No Plate Light</t>
  </si>
  <si>
    <t>VISHAMBHAR</t>
  </si>
  <si>
    <t>Both Pulley, No Plate Light, Both Break Pad</t>
  </si>
  <si>
    <t>Bhupinder Singh</t>
  </si>
  <si>
    <t>DL8EV8414</t>
  </si>
  <si>
    <t>ASHISH</t>
  </si>
  <si>
    <t>HANDEL</t>
  </si>
  <si>
    <t>DL8GD7830</t>
  </si>
  <si>
    <t>SURESH NAND UPADHYAY  </t>
  </si>
  <si>
    <t>Female Batt coupler</t>
  </si>
  <si>
    <t>Chain Adjuster</t>
  </si>
  <si>
    <t>RAJESH KUMAR</t>
  </si>
  <si>
    <t>DL8SCW2903</t>
  </si>
  <si>
    <t>Contoller, Wiring Harness</t>
  </si>
  <si>
    <t>YOGENDER SINGH</t>
  </si>
  <si>
    <t>HR26FP1587</t>
  </si>
  <si>
    <t>Tps, Rear Break Pad</t>
  </si>
  <si>
    <t>Praveen kumar</t>
  </si>
  <si>
    <t>DL8GD6359</t>
  </si>
  <si>
    <t>Fender Support, Indicator, Rear Fender</t>
  </si>
  <si>
    <t>Manoj Kumar</t>
  </si>
  <si>
    <t>Both Pulley and Thimble</t>
  </si>
  <si>
    <t>DL8GD7139</t>
  </si>
  <si>
    <t>Rear Break Pad, Stand Weding</t>
  </si>
  <si>
    <t>Motor</t>
  </si>
  <si>
    <t>DC DC</t>
  </si>
  <si>
    <t>DL8SCS9163</t>
  </si>
  <si>
    <t xml:space="preserve">Himanshu raturi  </t>
  </si>
  <si>
    <t>9868974004/(968541218)</t>
  </si>
  <si>
    <t>Charging Socket, Rear Belat Cover</t>
  </si>
  <si>
    <t>DL8GD9015</t>
  </si>
  <si>
    <t>Aditya Kumar Singh</t>
  </si>
  <si>
    <t>Both Break Pad, Service</t>
  </si>
  <si>
    <t>RAHUL KUMAR</t>
  </si>
  <si>
    <t>DL8GD2836</t>
  </si>
  <si>
    <t>DEEPAK</t>
  </si>
  <si>
    <t>DL8SCT2628</t>
  </si>
  <si>
    <t>Avinash</t>
  </si>
  <si>
    <t>LHSmaster cylinder service(master cylinder will change)</t>
  </si>
  <si>
    <t>DL9SCV7725</t>
  </si>
  <si>
    <t xml:space="preserve">Ankit Singh  </t>
  </si>
  <si>
    <t xml:space="preserve">Pallav jaiswal  </t>
  </si>
  <si>
    <t>Service, Rear Break Pad, Left Mirror</t>
  </si>
  <si>
    <t>Belt L 2</t>
  </si>
  <si>
    <t>Chain Set with Belt</t>
  </si>
  <si>
    <t>Both Pulley and Belt(Counter Sale)</t>
  </si>
  <si>
    <t>DL8GD9269</t>
  </si>
  <si>
    <t>Sonu</t>
  </si>
  <si>
    <t>cash 400</t>
  </si>
  <si>
    <t>SUMESH BHATIA</t>
  </si>
  <si>
    <t>DL6EV1344</t>
  </si>
  <si>
    <t>Service, Washing</t>
  </si>
  <si>
    <t>DL8GD0505</t>
  </si>
  <si>
    <t>rohit yadav</t>
  </si>
  <si>
    <t>Wiring, Female Batt Coupler, Rear Bearing, Front Mud guard</t>
  </si>
  <si>
    <t>400 Cash</t>
  </si>
  <si>
    <t>Vijender</t>
  </si>
  <si>
    <t>DL8SCU8262</t>
  </si>
  <si>
    <t>Side stand sensor, Left Lever, Lt Upper Decoration part, Oil seal</t>
  </si>
  <si>
    <t>DL8GD7804</t>
  </si>
  <si>
    <t xml:space="preserve">DILIP KUMAR SINGH </t>
  </si>
  <si>
    <t>DL8GD1971</t>
  </si>
  <si>
    <t>Service, Cone Set, Front Bearing, Rear Break Pad</t>
  </si>
  <si>
    <t>Sanjay Kumar</t>
  </si>
  <si>
    <t>Lock Set, MCB, Seat Latch, Under Seat Lock Metal</t>
  </si>
  <si>
    <t>Pulley, Side stand sensor, TPS, Rear Break Pad(V1)</t>
  </si>
  <si>
    <t>DL8GD1076</t>
  </si>
  <si>
    <t>Subrotoadok</t>
  </si>
  <si>
    <t>Manas sajwan</t>
  </si>
  <si>
    <t>Battery Charging Socket, Lock Set, Thimble</t>
  </si>
  <si>
    <t>NAGENDRA KUMAR</t>
  </si>
  <si>
    <t>SERVICE,REAR BRAKE PAD</t>
  </si>
  <si>
    <t>DL8EV1385</t>
  </si>
  <si>
    <t xml:space="preserve"> -----</t>
  </si>
  <si>
    <t>DL8GD2546</t>
  </si>
  <si>
    <t>Service, Caliper Cleaning</t>
  </si>
  <si>
    <t>NALESH</t>
  </si>
  <si>
    <t>DL8GD0907</t>
  </si>
  <si>
    <t>Both Pulley, Rear Break Pad(V1)</t>
  </si>
  <si>
    <t>Welding</t>
  </si>
  <si>
    <t>Right Shocker, Rear Nut Fender</t>
  </si>
  <si>
    <t>Munna Kumar</t>
  </si>
  <si>
    <t>DL8GD1742</t>
  </si>
  <si>
    <t>DL8SCT9334</t>
  </si>
  <si>
    <t xml:space="preserve">RANJEET SINGH  </t>
  </si>
  <si>
    <t>DL8GD3297</t>
  </si>
  <si>
    <t>Front Caliper, Break Pad</t>
  </si>
  <si>
    <t>Kunal</t>
  </si>
  <si>
    <t>cash 3000</t>
  </si>
  <si>
    <t>service,chain set,2 chain adjuster,both brake pad</t>
  </si>
  <si>
    <t>Side satand censor,and bolt</t>
  </si>
  <si>
    <t>DL8GD-0782</t>
  </si>
  <si>
    <t>Naveen Saha</t>
  </si>
  <si>
    <t xml:space="preserve">service </t>
  </si>
  <si>
    <t>Meter(Ol), Charger repair</t>
  </si>
  <si>
    <t>Lhs lever,front bearing</t>
  </si>
  <si>
    <t>Vipin kumar </t>
  </si>
  <si>
    <t>DL8GD3840</t>
  </si>
  <si>
    <t>DC DC, Thimble</t>
  </si>
  <si>
    <t>Hakim  </t>
  </si>
  <si>
    <t>DL8GD1974</t>
  </si>
  <si>
    <t>Service, Cone</t>
  </si>
  <si>
    <t>DL8EV7598</t>
  </si>
  <si>
    <t>Vikas Raj Mechanice</t>
  </si>
  <si>
    <t>DL8GD2280</t>
  </si>
  <si>
    <t>Hanish Saini</t>
  </si>
  <si>
    <t>PASCO Earthmovers LLP</t>
  </si>
  <si>
    <t>HR29BC7477</t>
  </si>
  <si>
    <t>Tarun Drall</t>
  </si>
  <si>
    <t>Horn Thimble, Wire Hook</t>
  </si>
  <si>
    <t>DHARMENDRA KUMAR</t>
  </si>
  <si>
    <t>Anand</t>
  </si>
  <si>
    <t>Wire Harness</t>
  </si>
  <si>
    <t>DL8GD2816</t>
  </si>
  <si>
    <t>Belt, Left Brake Lever, Front Indicator</t>
  </si>
  <si>
    <t>Service, Both Pulley, Both Break Pad</t>
  </si>
  <si>
    <t>DL8GD6769</t>
  </si>
  <si>
    <t>DL8G1606</t>
  </si>
  <si>
    <t>Belt, Cone</t>
  </si>
  <si>
    <t>Service, Left Brake Sensor</t>
  </si>
  <si>
    <t>Service, Front Break Pad, Chain Set</t>
  </si>
  <si>
    <t>DL8EV8484</t>
  </si>
  <si>
    <t>Mukesh Kumar</t>
  </si>
  <si>
    <t>Service,chain lube thimble mzmft1049s0000707</t>
  </si>
  <si>
    <t>Sunita Singh</t>
  </si>
  <si>
    <t>DL8GD8887</t>
  </si>
  <si>
    <t>Accidental Repair(Meter, Head Light, Handle TPS)</t>
  </si>
  <si>
    <t>DL8GD4673</t>
  </si>
  <si>
    <t>Paras</t>
  </si>
  <si>
    <t>Cone Set, Brake Pad, Battery Coupler, Pulley Set</t>
  </si>
  <si>
    <t>DL9EV7497</t>
  </si>
  <si>
    <t>Hari Shankar</t>
  </si>
  <si>
    <t>DL7GD0498</t>
  </si>
  <si>
    <t>Hirdesh</t>
  </si>
  <si>
    <t>Service, Charger Repair, Washing, Handle</t>
  </si>
  <si>
    <t>DL8GD4606</t>
  </si>
  <si>
    <t>Balinder Saini</t>
  </si>
  <si>
    <t>RV1 Break Pad Front counter sale</t>
  </si>
  <si>
    <t>Service, lhs mirror</t>
  </si>
  <si>
    <t>HR26FF9420</t>
  </si>
  <si>
    <t>KUNAL DUDEJA</t>
  </si>
  <si>
    <t>Cone Set, Rear Bearing, Service</t>
  </si>
  <si>
    <t>DL9EV9279</t>
  </si>
  <si>
    <t>Chain Set, Front Break Pad, Cone</t>
  </si>
  <si>
    <t>Ignition Lock, Both Break Pad, Caliper Service</t>
  </si>
  <si>
    <t>2800 Cash</t>
  </si>
  <si>
    <t>DL8GD7207</t>
  </si>
  <si>
    <t xml:space="preserve">PARDEEP   </t>
  </si>
  <si>
    <t>Side stand sensor</t>
  </si>
  <si>
    <t>Both Caliper Service, Both Break Pad, Indicator, Start Switch, Grinder,Thimble</t>
  </si>
  <si>
    <t>TARUN SAINI</t>
  </si>
  <si>
    <t> DL9EV6829</t>
  </si>
  <si>
    <t>Chain Set,cone set FOC</t>
  </si>
  <si>
    <t>DL8GD7102</t>
  </si>
  <si>
    <t>TUSHAR SAWHNEY</t>
  </si>
  <si>
    <t>JATIN</t>
  </si>
  <si>
    <t>DL8SCW3847</t>
  </si>
  <si>
    <t>Caliper, TPS</t>
  </si>
  <si>
    <t>Chain Lube</t>
  </si>
  <si>
    <t>Abhay</t>
  </si>
  <si>
    <t>Vasu Verma</t>
  </si>
  <si>
    <t>DL6EV1899</t>
  </si>
  <si>
    <t>Blaze X</t>
  </si>
  <si>
    <t>DL8GD6234</t>
  </si>
  <si>
    <t xml:space="preserve">vinod kumar  </t>
  </si>
  <si>
    <t>Handle, Left Brake Lever, Fr Brake Pad, Service,Stand, Seat Lach Left</t>
  </si>
  <si>
    <t>Sonia</t>
  </si>
  <si>
    <t>DL9EV6957</t>
  </si>
  <si>
    <t>DL8GD3012</t>
  </si>
  <si>
    <t>Bhupinder</t>
  </si>
  <si>
    <t>Right Upper Decoration Part</t>
  </si>
  <si>
    <t>Service, Rear Break Pad, Rubber Cap, Washing</t>
  </si>
  <si>
    <t>HR14T4051</t>
  </si>
  <si>
    <t>Vishal</t>
  </si>
  <si>
    <t>Both Puley- Counter Sale</t>
  </si>
  <si>
    <t>Akhilesh Kumar</t>
  </si>
  <si>
    <t>Front Bearing, Cone</t>
  </si>
  <si>
    <t>DL6EV1889</t>
  </si>
  <si>
    <t> VASU VERMA  </t>
  </si>
  <si>
    <t>Wiring(ol), Both Break Pad</t>
  </si>
  <si>
    <t>Service,Both Break Pad, Wire Hook</t>
  </si>
  <si>
    <t>DL8GD9031</t>
  </si>
  <si>
    <t>Luvkush/ Govind Kumar</t>
  </si>
  <si>
    <t>Service, Rear Break Pad, Chain Set, Flasher, Welding</t>
  </si>
  <si>
    <t>DL8SCT5490</t>
  </si>
  <si>
    <t>Cell, Rt Master Cyl, Both Caliper, Both Break Pad, TPS, Mirror, DC DC</t>
  </si>
  <si>
    <t>Manu/ Sunil</t>
  </si>
  <si>
    <t>JITENDER</t>
  </si>
  <si>
    <t>DL8GD0826</t>
  </si>
  <si>
    <t>Salman</t>
  </si>
  <si>
    <t>handle, TPS, Controller Labour</t>
  </si>
  <si>
    <t>DL8GD6363</t>
  </si>
  <si>
    <t>Indicator, Lever L2, Service, Front Break Pad</t>
  </si>
  <si>
    <t>DL8GD35l42</t>
  </si>
  <si>
    <t>Both Break Pad, Right Lever, Belt Labour</t>
  </si>
  <si>
    <t>DL8GD8444</t>
  </si>
  <si>
    <t>DC DC, Ig Lock, Main Wire, Batt Coupler, Shocker both, Seat Lock Set</t>
  </si>
  <si>
    <t>Karan</t>
  </si>
  <si>
    <t>Wiring(ol)</t>
  </si>
  <si>
    <t>HR98R8965</t>
  </si>
  <si>
    <t>Wiring, TPS,L Switch,Sensor Wire, Anti Rodeant, Front Br Pad, H Repair</t>
  </si>
  <si>
    <t>4500 Cash</t>
  </si>
  <si>
    <t>SANTOSH</t>
  </si>
  <si>
    <t>Service, Side Stand Sensor, Cone Set, Indicator, Lock Set, Belt, Charger Repair</t>
  </si>
  <si>
    <t>DL7GD0442</t>
  </si>
  <si>
    <t>Ashwani</t>
  </si>
  <si>
    <t>Service, Belt, Both Pulley, Mud Guard, Left Lever, Side Charging Socket</t>
  </si>
  <si>
    <t>DL8SCU5792</t>
  </si>
  <si>
    <t>ANKUR </t>
  </si>
  <si>
    <t>500 Cash</t>
  </si>
  <si>
    <t>DL8SCV2468</t>
  </si>
  <si>
    <t>Deepanshu</t>
  </si>
  <si>
    <t>DL8GD1561</t>
  </si>
  <si>
    <t>Both Break Pad, Side Statnd, Front Caliper Service</t>
  </si>
  <si>
    <t>RAHUL GUPTA</t>
  </si>
  <si>
    <t>DL8GD1558</t>
  </si>
  <si>
    <t>Service, Cone Set, Rear Break Pad</t>
  </si>
  <si>
    <t xml:space="preserve">Ganesh </t>
  </si>
  <si>
    <t>DL8GD2761</t>
  </si>
  <si>
    <t>Rajkumar</t>
  </si>
  <si>
    <t>Both Pulley, Belt, Rear Shocker, Both Break Pad, Front Caliper, Reflector</t>
  </si>
  <si>
    <t>DL8SCS6925</t>
  </si>
  <si>
    <t>Pritpal Singh</t>
  </si>
  <si>
    <t>DC DC, Cone Set, Handle</t>
  </si>
  <si>
    <t>RAJESH</t>
  </si>
  <si>
    <t>DL6EV0626</t>
  </si>
  <si>
    <t>Right Lever</t>
  </si>
  <si>
    <t>DL8SCU9972</t>
  </si>
  <si>
    <t>Left Master Cylinder</t>
  </si>
  <si>
    <t>Praveen Kumar</t>
  </si>
  <si>
    <t>UP53FA4206</t>
  </si>
  <si>
    <t>Bhim Singh</t>
  </si>
  <si>
    <t>Bth Pulley, Belt (L)</t>
  </si>
  <si>
    <t>YASH SAXENA</t>
  </si>
  <si>
    <t>Cash 1500</t>
  </si>
  <si>
    <t>VIVEK</t>
  </si>
  <si>
    <t>DL9EV6431</t>
  </si>
  <si>
    <t>Muneet Kaushal</t>
  </si>
  <si>
    <t>DL8EV9815</t>
  </si>
  <si>
    <t>Sandeep Kumar</t>
  </si>
  <si>
    <t>Pureways Infra Private Limited/ Sushil</t>
  </si>
  <si>
    <t>DL8EV8633</t>
  </si>
  <si>
    <t>Front Indicator</t>
  </si>
  <si>
    <t>Right Footrest</t>
  </si>
  <si>
    <t>DL8SCT7213</t>
  </si>
  <si>
    <t>Both Pulley, MCB, Ignition Lock, Front Break Pad, Key Lock Cover</t>
  </si>
  <si>
    <t>Both Pulley, Side Charging Socket, Left Lever, Ignition Lock, Front Bearing</t>
  </si>
  <si>
    <t>DL8GD1635</t>
  </si>
  <si>
    <t>AMIT LAMBORA </t>
  </si>
  <si>
    <t>Thimble</t>
  </si>
  <si>
    <t>Female Batt Coupler, Main Wire, Cone Set, Both Break pad, Left Break Lever, TPS, Side Stand, Handle</t>
  </si>
  <si>
    <t>MP07ZJ1928</t>
  </si>
  <si>
    <t xml:space="preserve">AJAY GURJAR  </t>
  </si>
  <si>
    <t>DL8EV0962</t>
  </si>
  <si>
    <t>Jai Prakash</t>
  </si>
  <si>
    <t>Rear Fender, Rear Break Pad, Caliper</t>
  </si>
  <si>
    <t>5000 Cash</t>
  </si>
  <si>
    <t>Jatin Sablok</t>
  </si>
  <si>
    <t>Mono Shocker Nut</t>
  </si>
  <si>
    <t>Ravinder</t>
  </si>
  <si>
    <t>Both Pulley, Front Break Pad, Rear Indicator</t>
  </si>
  <si>
    <t>Bhajan Singh</t>
  </si>
  <si>
    <t>DL8EV9859</t>
  </si>
  <si>
    <t>DL8GD7742</t>
  </si>
  <si>
    <t>ROHIT</t>
  </si>
  <si>
    <t>BOTH BRAKE PAD</t>
  </si>
  <si>
    <t>Home Visit Belt</t>
  </si>
  <si>
    <t>7011201644/8512880888</t>
  </si>
  <si>
    <t>Guddu</t>
  </si>
  <si>
    <t>DL8GD0604</t>
  </si>
  <si>
    <t>Front Mud Guard, Both Lever,Cone Set, Horn, Rear Disk Pad</t>
  </si>
  <si>
    <t>DL8SCV8949</t>
  </si>
  <si>
    <t>Virender</t>
  </si>
  <si>
    <t>Batt Coupler, Wiring, Both Bearing, Cone,both Master Cyl,Side Ch Socket, Tyre</t>
  </si>
  <si>
    <t>DL8GD3271</t>
  </si>
  <si>
    <t>DCDC, Rear Bearing, Cone Set</t>
  </si>
  <si>
    <t>DIWAKAR</t>
  </si>
  <si>
    <t>Service, Thimble, Charger Repair</t>
  </si>
  <si>
    <t>Female Battery Coupler, On/Off Switch</t>
  </si>
  <si>
    <t>Cash 1000/Card</t>
  </si>
  <si>
    <t>Vishwas umar</t>
  </si>
  <si>
    <t>Service, Left Lever, RR No Plate Light</t>
  </si>
  <si>
    <t>DL8GD1564</t>
  </si>
  <si>
    <t>Front Caliper Service, Rear Break Oil</t>
  </si>
  <si>
    <t>Akash</t>
  </si>
  <si>
    <t>DL8GD1075</t>
  </si>
  <si>
    <t>Sahil</t>
  </si>
  <si>
    <t>Left Lever, Thimble, TPS Direct, Handle</t>
  </si>
  <si>
    <t>DL8GD0487</t>
  </si>
  <si>
    <t>Rear Bearing, Both Pulley, Handle</t>
  </si>
  <si>
    <t>Lalit Kumar</t>
  </si>
  <si>
    <t>13 T Sprocket</t>
  </si>
  <si>
    <t>Gaurav Verma</t>
  </si>
  <si>
    <t>HR24AH8010</t>
  </si>
  <si>
    <t>Chain Set, Chain Lock</t>
  </si>
  <si>
    <t>KRISHNA GOPAL</t>
  </si>
  <si>
    <t>DL6EV1203</t>
  </si>
  <si>
    <t>Service, Both Indicator, Right Lever, Right Mirror, Chain Lube, Cone</t>
  </si>
  <si>
    <t>Both Pulley, Handle, Front Break Pad</t>
  </si>
  <si>
    <t>Durgesh</t>
  </si>
  <si>
    <t>DL8GD0137</t>
  </si>
  <si>
    <t>Battery Coupler, Both Morror</t>
  </si>
  <si>
    <t>DL8GD3925</t>
  </si>
  <si>
    <t>Shanker Dayal</t>
  </si>
  <si>
    <t>4000 Cash</t>
  </si>
  <si>
    <t>Both Pulley, Thimble, Front Break Pad</t>
  </si>
  <si>
    <t>DL8GD3580</t>
  </si>
  <si>
    <t xml:space="preserve">Tushar rathi  </t>
  </si>
  <si>
    <t>Front Break Pad, Caliper Piston clening</t>
  </si>
  <si>
    <t xml:space="preserve">AJAY </t>
  </si>
  <si>
    <t>SERVICE ,REAR BRAKE PAD(BRAKE OIL )</t>
  </si>
  <si>
    <t>DL6EV0579</t>
  </si>
  <si>
    <t>Ram Singh</t>
  </si>
  <si>
    <t>Ignition Lock, Home Visit, Thimble</t>
  </si>
  <si>
    <t>DL6EV3698</t>
  </si>
  <si>
    <t>ABHINAV</t>
  </si>
  <si>
    <t>DL8GD1550</t>
  </si>
  <si>
    <t>Pawan kumar</t>
  </si>
  <si>
    <t>Both Pulley, Ignition Lock</t>
  </si>
  <si>
    <t>Swing Arm Bush Fitting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</si>
</sst>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A0707"/>
      <name val="Roboto"/>
    </font>
    <font>
      <b/>
      <sz val="9"/>
      <color rgb="FF000000"/>
      <name val="Roboto"/>
    </font>
    <font>
      <sz val="9"/>
      <color rgb="FF000000"/>
      <name val="Roboto"/>
    </font>
    <font>
      <sz val="8"/>
      <color rgb="FF00008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9FCFF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DEDED"/>
      </right>
      <top style="medium">
        <color rgb="FFEDEDED"/>
      </top>
      <bottom style="medium">
        <color rgb="FFEDEDED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4" fontId="1" fillId="0" borderId="0" xfId="0" applyNumberFormat="1" applyFont="1"/>
    <xf numFmtId="0" fontId="0" fillId="0" borderId="0" xfId="0" applyFont="1"/>
    <xf numFmtId="14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2" borderId="0" xfId="0" applyNumberFormat="1" applyFill="1"/>
    <xf numFmtId="0" fontId="0" fillId="0" borderId="0" xfId="0" applyAlignment="1">
      <alignment horizontal="right"/>
    </xf>
    <xf numFmtId="14" fontId="0" fillId="0" borderId="0" xfId="0" applyNumberFormat="1" applyFill="1"/>
    <xf numFmtId="0" fontId="0" fillId="0" borderId="0" xfId="0" applyFill="1"/>
    <xf numFmtId="0" fontId="6" fillId="3" borderId="1" xfId="0" applyFont="1" applyFill="1" applyBorder="1" applyAlignment="1">
      <alignment horizontal="left" vertical="center" wrapText="1"/>
    </xf>
    <xf numFmtId="164" fontId="0" fillId="0" borderId="0" xfId="0" applyNumberFormat="1"/>
    <xf numFmtId="0" fontId="0" fillId="0" borderId="0" xfId="0" applyFont="1" applyFill="1"/>
    <xf numFmtId="2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topLeftCell="A16" zoomScaleNormal="100" workbookViewId="0">
      <selection activeCell="C27" sqref="C27:D27"/>
    </sheetView>
  </sheetViews>
  <sheetFormatPr defaultRowHeight="15"/>
  <cols>
    <col min="1" max="1" width="10.42578125" bestFit="1" customWidth="1"/>
    <col min="2" max="2" width="11.7109375" bestFit="1" customWidth="1"/>
    <col min="3" max="3" width="19" bestFit="1" customWidth="1"/>
    <col min="4" max="4" width="13.140625" bestFit="1" customWidth="1"/>
    <col min="5" max="5" width="20.42578125" bestFit="1" customWidth="1"/>
    <col min="6" max="6" width="11.140625" bestFit="1" customWidth="1"/>
    <col min="7" max="7" width="69.42578125" bestFit="1" customWidth="1"/>
    <col min="8" max="8" width="10.42578125" bestFit="1" customWidth="1"/>
    <col min="9" max="9" width="20.85546875" bestFit="1" customWidth="1"/>
    <col min="10" max="10" width="18.85546875" bestFit="1" customWidth="1"/>
    <col min="11" max="11" width="17.28515625" bestFit="1" customWidth="1"/>
  </cols>
  <sheetData>
    <row r="2" spans="1:11">
      <c r="A2" t="s">
        <v>24</v>
      </c>
      <c r="B2" t="s">
        <v>0</v>
      </c>
      <c r="C2" t="s">
        <v>1</v>
      </c>
      <c r="D2" t="s">
        <v>2</v>
      </c>
      <c r="E2" t="s">
        <v>3</v>
      </c>
      <c r="F2" t="s">
        <v>5</v>
      </c>
      <c r="G2" t="s">
        <v>4</v>
      </c>
      <c r="H2" t="s">
        <v>6</v>
      </c>
      <c r="I2" t="s">
        <v>10</v>
      </c>
      <c r="J2" t="s">
        <v>12</v>
      </c>
      <c r="K2" t="s">
        <v>14</v>
      </c>
    </row>
    <row r="3" spans="1:11">
      <c r="A3" s="1">
        <v>45984</v>
      </c>
      <c r="B3" t="s">
        <v>7</v>
      </c>
      <c r="F3" t="s">
        <v>8</v>
      </c>
      <c r="G3" t="s">
        <v>9</v>
      </c>
      <c r="H3">
        <v>775</v>
      </c>
      <c r="I3" t="s">
        <v>11</v>
      </c>
      <c r="J3" t="s">
        <v>13</v>
      </c>
    </row>
    <row r="4" spans="1:11">
      <c r="A4" s="1">
        <v>45984</v>
      </c>
      <c r="B4" t="s">
        <v>15</v>
      </c>
      <c r="C4" t="s">
        <v>16</v>
      </c>
      <c r="D4">
        <v>8527952165</v>
      </c>
      <c r="E4" t="s">
        <v>17</v>
      </c>
      <c r="F4" t="s">
        <v>18</v>
      </c>
      <c r="G4" t="s">
        <v>19</v>
      </c>
      <c r="H4">
        <v>1135</v>
      </c>
      <c r="I4" t="s">
        <v>11</v>
      </c>
      <c r="J4" t="s">
        <v>13</v>
      </c>
    </row>
    <row r="5" spans="1:11">
      <c r="A5" s="1">
        <v>45984</v>
      </c>
      <c r="B5" t="s">
        <v>20</v>
      </c>
      <c r="C5" t="s">
        <v>21</v>
      </c>
      <c r="D5">
        <v>9968055856</v>
      </c>
      <c r="E5" t="s">
        <v>23</v>
      </c>
      <c r="F5" t="s">
        <v>18</v>
      </c>
      <c r="G5" t="s">
        <v>22</v>
      </c>
      <c r="H5">
        <v>2142</v>
      </c>
      <c r="I5" t="s">
        <v>11</v>
      </c>
      <c r="J5" t="s">
        <v>18</v>
      </c>
      <c r="K5" t="s">
        <v>18</v>
      </c>
    </row>
    <row r="6" spans="1:11">
      <c r="A6" s="1">
        <v>45985</v>
      </c>
      <c r="B6" t="s">
        <v>25</v>
      </c>
      <c r="C6" t="s">
        <v>26</v>
      </c>
      <c r="D6">
        <v>9910254037</v>
      </c>
      <c r="F6" t="s">
        <v>13</v>
      </c>
      <c r="G6" t="s">
        <v>52</v>
      </c>
      <c r="H6">
        <v>4500</v>
      </c>
      <c r="I6" t="s">
        <v>11</v>
      </c>
      <c r="J6" t="s">
        <v>13</v>
      </c>
    </row>
    <row r="7" spans="1:11">
      <c r="A7" s="1">
        <v>45986</v>
      </c>
      <c r="B7" t="s">
        <v>27</v>
      </c>
      <c r="C7" t="s">
        <v>28</v>
      </c>
      <c r="D7">
        <v>8851042256</v>
      </c>
      <c r="F7" t="s">
        <v>13</v>
      </c>
      <c r="G7" t="s">
        <v>29</v>
      </c>
      <c r="H7">
        <v>1500</v>
      </c>
      <c r="I7" t="s">
        <v>32</v>
      </c>
      <c r="J7" t="s">
        <v>13</v>
      </c>
    </row>
    <row r="8" spans="1:11">
      <c r="A8" s="1">
        <v>45986</v>
      </c>
      <c r="B8" t="s">
        <v>30</v>
      </c>
      <c r="D8">
        <v>9012764919</v>
      </c>
      <c r="F8" t="s">
        <v>13</v>
      </c>
      <c r="G8" t="s">
        <v>31</v>
      </c>
      <c r="H8">
        <v>1050</v>
      </c>
      <c r="I8" t="s">
        <v>11</v>
      </c>
      <c r="J8" t="s">
        <v>13</v>
      </c>
    </row>
    <row r="9" spans="1:11">
      <c r="A9" s="1">
        <v>45987</v>
      </c>
      <c r="C9" t="s">
        <v>84</v>
      </c>
      <c r="D9">
        <v>9350166122</v>
      </c>
      <c r="F9" t="s">
        <v>13</v>
      </c>
      <c r="G9" t="s">
        <v>33</v>
      </c>
      <c r="H9">
        <v>900</v>
      </c>
      <c r="I9" t="s">
        <v>11</v>
      </c>
      <c r="J9" t="s">
        <v>13</v>
      </c>
    </row>
    <row r="10" spans="1:11">
      <c r="A10" s="1">
        <v>45987</v>
      </c>
      <c r="B10" t="s">
        <v>34</v>
      </c>
      <c r="C10" t="s">
        <v>36</v>
      </c>
      <c r="D10">
        <v>9718383909</v>
      </c>
      <c r="F10" t="s">
        <v>18</v>
      </c>
      <c r="G10" t="s">
        <v>35</v>
      </c>
      <c r="H10">
        <v>1254</v>
      </c>
      <c r="I10" t="s">
        <v>11</v>
      </c>
      <c r="J10" t="s">
        <v>13</v>
      </c>
    </row>
    <row r="11" spans="1:11">
      <c r="A11" s="1">
        <v>45987</v>
      </c>
      <c r="B11" t="s">
        <v>39</v>
      </c>
      <c r="C11" t="s">
        <v>38</v>
      </c>
      <c r="D11">
        <v>9015254570</v>
      </c>
      <c r="F11" t="s">
        <v>8</v>
      </c>
      <c r="G11" t="s">
        <v>37</v>
      </c>
      <c r="H11">
        <v>649</v>
      </c>
      <c r="I11" t="s">
        <v>11</v>
      </c>
      <c r="J11" t="s">
        <v>13</v>
      </c>
    </row>
    <row r="12" spans="1:11">
      <c r="A12" s="1">
        <v>45987</v>
      </c>
      <c r="B12" t="s">
        <v>40</v>
      </c>
      <c r="C12" t="s">
        <v>42</v>
      </c>
      <c r="D12">
        <v>8800129909</v>
      </c>
      <c r="F12" t="s">
        <v>18</v>
      </c>
      <c r="G12" t="s">
        <v>41</v>
      </c>
      <c r="H12">
        <v>1007</v>
      </c>
      <c r="I12" t="s">
        <v>11</v>
      </c>
      <c r="J12" t="s">
        <v>18</v>
      </c>
      <c r="K12" t="s">
        <v>18</v>
      </c>
    </row>
    <row r="13" spans="1:11">
      <c r="A13" s="1">
        <v>45987</v>
      </c>
      <c r="B13" t="s">
        <v>43</v>
      </c>
      <c r="C13" t="s">
        <v>44</v>
      </c>
      <c r="D13">
        <v>9315097488</v>
      </c>
      <c r="F13" t="s">
        <v>13</v>
      </c>
      <c r="G13" t="s">
        <v>45</v>
      </c>
      <c r="H13">
        <v>850</v>
      </c>
      <c r="I13" t="s">
        <v>11</v>
      </c>
      <c r="J13" t="s">
        <v>13</v>
      </c>
    </row>
    <row r="14" spans="1:11">
      <c r="A14" s="1">
        <v>45988</v>
      </c>
      <c r="B14" t="s">
        <v>46</v>
      </c>
      <c r="C14" t="s">
        <v>47</v>
      </c>
      <c r="D14">
        <v>9818272017</v>
      </c>
      <c r="F14" t="s">
        <v>13</v>
      </c>
      <c r="G14" t="s">
        <v>48</v>
      </c>
      <c r="H14">
        <v>1170</v>
      </c>
      <c r="I14" t="s">
        <v>11</v>
      </c>
      <c r="J14" t="s">
        <v>13</v>
      </c>
    </row>
    <row r="15" spans="1:11">
      <c r="A15" s="1">
        <v>45988</v>
      </c>
      <c r="B15" t="s">
        <v>49</v>
      </c>
      <c r="C15" t="s">
        <v>50</v>
      </c>
      <c r="D15">
        <v>9310567283</v>
      </c>
      <c r="F15" t="s">
        <v>13</v>
      </c>
      <c r="G15" t="s">
        <v>51</v>
      </c>
      <c r="H15">
        <v>1250</v>
      </c>
      <c r="I15" t="s">
        <v>11</v>
      </c>
      <c r="J15" t="s">
        <v>13</v>
      </c>
    </row>
    <row r="16" spans="1:11">
      <c r="A16" s="1">
        <v>45988</v>
      </c>
      <c r="B16" t="s">
        <v>53</v>
      </c>
      <c r="C16" t="s">
        <v>54</v>
      </c>
      <c r="D16">
        <v>9350666605</v>
      </c>
      <c r="F16" t="s">
        <v>13</v>
      </c>
      <c r="G16" t="s">
        <v>55</v>
      </c>
      <c r="H16">
        <v>500</v>
      </c>
      <c r="I16" t="s">
        <v>11</v>
      </c>
      <c r="J16" t="s">
        <v>13</v>
      </c>
    </row>
    <row r="17" spans="1:11">
      <c r="A17" s="1">
        <v>45989</v>
      </c>
      <c r="B17" t="s">
        <v>56</v>
      </c>
      <c r="C17" t="s">
        <v>57</v>
      </c>
      <c r="D17">
        <v>9953695706</v>
      </c>
      <c r="F17" t="s">
        <v>18</v>
      </c>
      <c r="G17" t="s">
        <v>58</v>
      </c>
      <c r="H17">
        <v>5800</v>
      </c>
      <c r="I17" t="s">
        <v>11</v>
      </c>
      <c r="J17" t="s">
        <v>13</v>
      </c>
    </row>
    <row r="18" spans="1:11">
      <c r="A18" s="1">
        <v>45989</v>
      </c>
      <c r="B18" t="s">
        <v>59</v>
      </c>
      <c r="C18" t="s">
        <v>60</v>
      </c>
      <c r="D18">
        <v>8076203224</v>
      </c>
      <c r="F18" t="s">
        <v>18</v>
      </c>
      <c r="G18" t="s">
        <v>37</v>
      </c>
      <c r="H18">
        <v>649</v>
      </c>
      <c r="I18" t="s">
        <v>11</v>
      </c>
      <c r="J18" t="s">
        <v>13</v>
      </c>
    </row>
    <row r="19" spans="1:11">
      <c r="A19" s="1">
        <v>45990</v>
      </c>
      <c r="B19" t="s">
        <v>61</v>
      </c>
      <c r="C19" t="s">
        <v>62</v>
      </c>
      <c r="D19">
        <v>9873331319</v>
      </c>
      <c r="F19" t="s">
        <v>18</v>
      </c>
      <c r="G19" t="s">
        <v>63</v>
      </c>
      <c r="H19">
        <v>2900</v>
      </c>
      <c r="I19" t="s">
        <v>32</v>
      </c>
      <c r="J19" t="s">
        <v>13</v>
      </c>
    </row>
    <row r="20" spans="1:11">
      <c r="A20" s="1">
        <v>45990</v>
      </c>
      <c r="B20" t="s">
        <v>64</v>
      </c>
      <c r="C20" t="s">
        <v>65</v>
      </c>
      <c r="D20">
        <v>7404329866</v>
      </c>
      <c r="F20" t="s">
        <v>18</v>
      </c>
      <c r="G20" t="s">
        <v>33</v>
      </c>
      <c r="H20">
        <v>625</v>
      </c>
      <c r="I20" t="s">
        <v>11</v>
      </c>
      <c r="J20" t="s">
        <v>13</v>
      </c>
    </row>
    <row r="21" spans="1:11">
      <c r="A21" s="1">
        <v>45990</v>
      </c>
      <c r="B21" t="s">
        <v>66</v>
      </c>
      <c r="C21" t="s">
        <v>67</v>
      </c>
      <c r="D21">
        <v>8920542216</v>
      </c>
      <c r="F21" t="s">
        <v>8</v>
      </c>
      <c r="G21" t="s">
        <v>68</v>
      </c>
      <c r="H21">
        <v>3044</v>
      </c>
      <c r="I21" t="s">
        <v>11</v>
      </c>
      <c r="J21" t="s">
        <v>13</v>
      </c>
    </row>
    <row r="22" spans="1:11">
      <c r="A22" s="1">
        <v>45990</v>
      </c>
      <c r="B22" t="s">
        <v>70</v>
      </c>
      <c r="C22" t="s">
        <v>69</v>
      </c>
      <c r="D22">
        <v>8826288015</v>
      </c>
      <c r="F22" t="s">
        <v>8</v>
      </c>
      <c r="G22" t="s">
        <v>71</v>
      </c>
      <c r="H22">
        <v>2199</v>
      </c>
      <c r="I22" t="s">
        <v>11</v>
      </c>
      <c r="J22" t="s">
        <v>13</v>
      </c>
    </row>
    <row r="23" spans="1:11">
      <c r="A23" s="1">
        <v>45990</v>
      </c>
      <c r="B23" t="s">
        <v>15</v>
      </c>
      <c r="C23" t="s">
        <v>16</v>
      </c>
      <c r="D23">
        <v>8527952165</v>
      </c>
      <c r="F23" t="s">
        <v>8</v>
      </c>
      <c r="G23" t="s">
        <v>72</v>
      </c>
      <c r="H23">
        <v>5893</v>
      </c>
      <c r="I23" t="s">
        <v>11</v>
      </c>
      <c r="J23" t="s">
        <v>18</v>
      </c>
      <c r="K23" t="s">
        <v>18</v>
      </c>
    </row>
    <row r="24" spans="1:11">
      <c r="A24" s="1">
        <v>45990</v>
      </c>
      <c r="B24" t="s">
        <v>73</v>
      </c>
      <c r="C24" t="s">
        <v>74</v>
      </c>
      <c r="D24">
        <v>7982224652</v>
      </c>
      <c r="F24" t="s">
        <v>18</v>
      </c>
      <c r="G24" t="s">
        <v>75</v>
      </c>
      <c r="H24">
        <v>4257</v>
      </c>
      <c r="I24" t="s">
        <v>11</v>
      </c>
      <c r="J24" t="s">
        <v>13</v>
      </c>
    </row>
    <row r="25" spans="1:11">
      <c r="A25" s="1">
        <v>45990</v>
      </c>
      <c r="B25" t="s">
        <v>76</v>
      </c>
      <c r="C25" t="s">
        <v>77</v>
      </c>
      <c r="D25">
        <v>9717170474</v>
      </c>
      <c r="F25" t="s">
        <v>18</v>
      </c>
      <c r="G25" t="s">
        <v>78</v>
      </c>
      <c r="H25">
        <v>767</v>
      </c>
      <c r="I25" t="s">
        <v>11</v>
      </c>
      <c r="J25" t="s">
        <v>13</v>
      </c>
    </row>
    <row r="26" spans="1:11">
      <c r="A26" s="1">
        <v>45990</v>
      </c>
      <c r="B26" t="s">
        <v>80</v>
      </c>
      <c r="C26" t="s">
        <v>79</v>
      </c>
      <c r="D26">
        <v>7827157880</v>
      </c>
      <c r="F26" t="s">
        <v>8</v>
      </c>
      <c r="G26" t="s">
        <v>81</v>
      </c>
      <c r="H26">
        <v>1164</v>
      </c>
      <c r="I26" t="s">
        <v>11</v>
      </c>
      <c r="J26" t="s">
        <v>13</v>
      </c>
    </row>
    <row r="27" spans="1:11">
      <c r="A27" s="1">
        <v>45991</v>
      </c>
      <c r="B27" t="s">
        <v>82</v>
      </c>
      <c r="C27" t="s">
        <v>85</v>
      </c>
      <c r="D27">
        <v>8447261956</v>
      </c>
      <c r="F27" t="s">
        <v>8</v>
      </c>
      <c r="G27" t="s">
        <v>83</v>
      </c>
      <c r="H27">
        <v>1400</v>
      </c>
      <c r="I27" t="s">
        <v>11</v>
      </c>
      <c r="J27" t="s">
        <v>13</v>
      </c>
    </row>
    <row r="28" spans="1:11">
      <c r="A28" s="1">
        <v>45991</v>
      </c>
      <c r="B28" t="s">
        <v>86</v>
      </c>
      <c r="C28" t="s">
        <v>87</v>
      </c>
      <c r="D28">
        <v>9250024470</v>
      </c>
      <c r="F28" t="s">
        <v>13</v>
      </c>
      <c r="G28" t="s">
        <v>88</v>
      </c>
      <c r="H28">
        <v>5353</v>
      </c>
      <c r="I28" t="s">
        <v>11</v>
      </c>
      <c r="J28" t="s">
        <v>13</v>
      </c>
    </row>
    <row r="29" spans="1:11">
      <c r="A29" s="1">
        <v>45991</v>
      </c>
      <c r="B29" t="s">
        <v>89</v>
      </c>
      <c r="C29" t="s">
        <v>90</v>
      </c>
      <c r="D29">
        <v>8383925736</v>
      </c>
      <c r="F29" t="s">
        <v>13</v>
      </c>
      <c r="G29" t="s">
        <v>91</v>
      </c>
      <c r="H29">
        <v>1000</v>
      </c>
      <c r="I29" t="s">
        <v>11</v>
      </c>
      <c r="J29" t="s">
        <v>13</v>
      </c>
    </row>
    <row r="30" spans="1:11">
      <c r="A30" s="1">
        <v>45991</v>
      </c>
      <c r="B30" t="s">
        <v>92</v>
      </c>
      <c r="C30" t="s">
        <v>93</v>
      </c>
      <c r="D30">
        <v>9811383113</v>
      </c>
      <c r="F30" t="s">
        <v>13</v>
      </c>
      <c r="G30" t="s">
        <v>97</v>
      </c>
      <c r="H30">
        <v>4000</v>
      </c>
      <c r="I30" t="s">
        <v>11</v>
      </c>
      <c r="J30" t="s">
        <v>13</v>
      </c>
    </row>
    <row r="31" spans="1:11">
      <c r="A31" s="1">
        <v>45991</v>
      </c>
      <c r="B31" t="s">
        <v>94</v>
      </c>
      <c r="C31" t="s">
        <v>96</v>
      </c>
      <c r="D31">
        <v>9953898579</v>
      </c>
      <c r="F31" t="s">
        <v>18</v>
      </c>
      <c r="G31" t="s">
        <v>95</v>
      </c>
      <c r="H31">
        <v>1732</v>
      </c>
      <c r="I31" t="s">
        <v>11</v>
      </c>
      <c r="J31" t="s">
        <v>18</v>
      </c>
      <c r="K31" t="s">
        <v>18</v>
      </c>
    </row>
    <row r="32" spans="1:11">
      <c r="A32" s="1">
        <v>45991</v>
      </c>
      <c r="B32" t="s">
        <v>98</v>
      </c>
      <c r="C32" t="s">
        <v>99</v>
      </c>
      <c r="D32">
        <v>9999600067</v>
      </c>
      <c r="F32" t="s">
        <v>13</v>
      </c>
      <c r="G32" t="s">
        <v>100</v>
      </c>
      <c r="H32">
        <v>1000</v>
      </c>
      <c r="I32" t="s">
        <v>32</v>
      </c>
      <c r="J32" t="s">
        <v>13</v>
      </c>
    </row>
    <row r="33" spans="1:11">
      <c r="A33" s="1">
        <v>45991</v>
      </c>
      <c r="B33" t="s">
        <v>101</v>
      </c>
      <c r="C33" t="s">
        <v>102</v>
      </c>
      <c r="D33">
        <v>9716403736</v>
      </c>
      <c r="F33" t="s">
        <v>13</v>
      </c>
      <c r="G33" t="s">
        <v>103</v>
      </c>
      <c r="H33">
        <v>1250</v>
      </c>
      <c r="I33" t="s">
        <v>11</v>
      </c>
      <c r="J33" t="s">
        <v>13</v>
      </c>
    </row>
    <row r="34" spans="1:11">
      <c r="A34" s="1">
        <v>45991</v>
      </c>
      <c r="B34" t="s">
        <v>104</v>
      </c>
      <c r="C34" t="s">
        <v>105</v>
      </c>
      <c r="D34">
        <v>9717181862</v>
      </c>
      <c r="F34" t="s">
        <v>106</v>
      </c>
      <c r="G34" t="s">
        <v>107</v>
      </c>
      <c r="H34">
        <v>1000</v>
      </c>
      <c r="I34" t="s">
        <v>32</v>
      </c>
      <c r="J34" t="s">
        <v>13</v>
      </c>
      <c r="K34" t="s">
        <v>117</v>
      </c>
    </row>
  </sheetData>
  <autoFilter ref="A2:K34"/>
  <dataValidations count="2">
    <dataValidation type="list" allowBlank="1" showInputMessage="1" showErrorMessage="1" sqref="I3:I18">
      <formula1>"CASH,ONLINE"</formula1>
    </dataValidation>
    <dataValidation type="list" allowBlank="1" showInputMessage="1" showErrorMessage="1" sqref="J3:K3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44"/>
  <sheetViews>
    <sheetView zoomScaleNormal="100" workbookViewId="0">
      <selection activeCell="G2" sqref="G2"/>
    </sheetView>
  </sheetViews>
  <sheetFormatPr defaultRowHeight="15"/>
  <cols>
    <col min="1" max="1" width="10.42578125" bestFit="1" customWidth="1"/>
    <col min="2" max="2" width="13.42578125" customWidth="1"/>
    <col min="3" max="3" width="37.7109375" bestFit="1" customWidth="1"/>
    <col min="4" max="4" width="13.5703125" customWidth="1"/>
    <col min="5" max="5" width="20.5703125" bestFit="1" customWidth="1"/>
    <col min="6" max="6" width="7.42578125" customWidth="1"/>
    <col min="7" max="7" width="8.85546875" bestFit="1" customWidth="1"/>
    <col min="8" max="8" width="63.28515625" customWidth="1"/>
    <col min="9" max="9" width="9.42578125" customWidth="1"/>
    <col min="10" max="10" width="18.5703125" bestFit="1" customWidth="1"/>
    <col min="11" max="11" width="16.5703125" bestFit="1" customWidth="1"/>
    <col min="12" max="12" width="15" bestFit="1" customWidth="1"/>
    <col min="13" max="13" width="15.42578125" bestFit="1" customWidth="1"/>
    <col min="17" max="17" width="11" bestFit="1" customWidth="1"/>
  </cols>
  <sheetData>
    <row r="2" spans="1:12">
      <c r="A2" t="s">
        <v>24</v>
      </c>
      <c r="B2" t="s">
        <v>0</v>
      </c>
      <c r="C2" t="s">
        <v>1</v>
      </c>
      <c r="D2" t="s">
        <v>2</v>
      </c>
      <c r="E2" t="s">
        <v>3</v>
      </c>
      <c r="F2" t="s">
        <v>112</v>
      </c>
      <c r="G2" t="s">
        <v>5</v>
      </c>
      <c r="H2" t="s">
        <v>4</v>
      </c>
      <c r="I2" t="s">
        <v>6</v>
      </c>
      <c r="J2" t="s">
        <v>10</v>
      </c>
      <c r="K2" t="s">
        <v>12</v>
      </c>
      <c r="L2" t="s">
        <v>14</v>
      </c>
    </row>
    <row r="3" spans="1:12">
      <c r="A3" s="1">
        <v>45992</v>
      </c>
      <c r="B3" t="s">
        <v>108</v>
      </c>
      <c r="C3" t="s">
        <v>111</v>
      </c>
      <c r="D3">
        <v>8448133685</v>
      </c>
      <c r="E3" t="s">
        <v>110</v>
      </c>
      <c r="F3">
        <v>3163</v>
      </c>
      <c r="G3" t="s">
        <v>13</v>
      </c>
      <c r="H3" t="s">
        <v>109</v>
      </c>
      <c r="I3">
        <v>500</v>
      </c>
      <c r="J3" t="s">
        <v>113</v>
      </c>
      <c r="K3" t="s">
        <v>13</v>
      </c>
    </row>
    <row r="4" spans="1:12">
      <c r="A4" s="1">
        <v>45992</v>
      </c>
      <c r="B4" t="s">
        <v>115</v>
      </c>
      <c r="C4" t="s">
        <v>116</v>
      </c>
      <c r="D4">
        <v>9540239229</v>
      </c>
      <c r="F4">
        <v>52226</v>
      </c>
      <c r="G4" t="s">
        <v>13</v>
      </c>
      <c r="H4" t="s">
        <v>114</v>
      </c>
      <c r="I4">
        <v>1000</v>
      </c>
      <c r="J4" t="s">
        <v>113</v>
      </c>
      <c r="K4" t="s">
        <v>13</v>
      </c>
    </row>
    <row r="5" spans="1:12">
      <c r="A5" s="1">
        <v>45992</v>
      </c>
      <c r="B5" t="s">
        <v>118</v>
      </c>
      <c r="C5" t="s">
        <v>119</v>
      </c>
      <c r="D5">
        <v>8588006856</v>
      </c>
      <c r="E5" t="s">
        <v>120</v>
      </c>
      <c r="F5">
        <v>54165</v>
      </c>
      <c r="G5" t="s">
        <v>18</v>
      </c>
      <c r="H5" t="s">
        <v>121</v>
      </c>
      <c r="I5">
        <v>6800</v>
      </c>
      <c r="J5" t="s">
        <v>113</v>
      </c>
      <c r="K5" t="s">
        <v>13</v>
      </c>
    </row>
    <row r="6" spans="1:12">
      <c r="A6" s="1">
        <v>45992</v>
      </c>
      <c r="B6" t="s">
        <v>53</v>
      </c>
      <c r="C6" t="s">
        <v>54</v>
      </c>
      <c r="D6">
        <v>9350666605</v>
      </c>
      <c r="G6" t="s">
        <v>13</v>
      </c>
      <c r="H6" t="s">
        <v>122</v>
      </c>
      <c r="I6">
        <v>400</v>
      </c>
      <c r="J6" t="s">
        <v>113</v>
      </c>
      <c r="K6" t="s">
        <v>13</v>
      </c>
    </row>
    <row r="7" spans="1:12">
      <c r="A7" s="1">
        <v>45992</v>
      </c>
      <c r="B7" t="s">
        <v>123</v>
      </c>
      <c r="C7" t="s">
        <v>125</v>
      </c>
      <c r="D7">
        <v>9996649729</v>
      </c>
      <c r="F7">
        <v>22544</v>
      </c>
      <c r="G7" t="s">
        <v>13</v>
      </c>
      <c r="H7" t="s">
        <v>124</v>
      </c>
      <c r="I7">
        <v>2800</v>
      </c>
      <c r="J7" t="s">
        <v>126</v>
      </c>
      <c r="K7" t="s">
        <v>13</v>
      </c>
    </row>
    <row r="8" spans="1:12">
      <c r="A8" s="1">
        <v>45992</v>
      </c>
      <c r="B8" t="s">
        <v>127</v>
      </c>
      <c r="C8" t="s">
        <v>128</v>
      </c>
      <c r="D8">
        <v>9711129080</v>
      </c>
      <c r="F8">
        <v>45746</v>
      </c>
      <c r="G8" t="s">
        <v>13</v>
      </c>
      <c r="H8" t="s">
        <v>129</v>
      </c>
      <c r="I8">
        <v>1040</v>
      </c>
      <c r="J8" t="s">
        <v>113</v>
      </c>
      <c r="K8" t="s">
        <v>13</v>
      </c>
    </row>
    <row r="9" spans="1:12">
      <c r="A9" s="1">
        <v>45992</v>
      </c>
      <c r="B9" t="s">
        <v>130</v>
      </c>
      <c r="C9" t="s">
        <v>131</v>
      </c>
      <c r="D9">
        <v>9250836517</v>
      </c>
      <c r="F9">
        <v>45887</v>
      </c>
      <c r="G9" t="s">
        <v>13</v>
      </c>
      <c r="H9" t="s">
        <v>132</v>
      </c>
      <c r="I9">
        <v>1275</v>
      </c>
      <c r="J9" t="s">
        <v>113</v>
      </c>
      <c r="K9" t="s">
        <v>13</v>
      </c>
    </row>
    <row r="10" spans="1:12">
      <c r="A10" s="1">
        <v>45994</v>
      </c>
      <c r="B10" s="2" t="s">
        <v>136</v>
      </c>
      <c r="C10" t="s">
        <v>133</v>
      </c>
      <c r="D10">
        <v>9466733336</v>
      </c>
      <c r="E10" t="s">
        <v>134</v>
      </c>
      <c r="F10">
        <v>11105</v>
      </c>
      <c r="G10" t="s">
        <v>18</v>
      </c>
      <c r="H10" t="s">
        <v>135</v>
      </c>
      <c r="I10">
        <v>9846</v>
      </c>
      <c r="J10" t="s">
        <v>113</v>
      </c>
      <c r="K10" t="s">
        <v>13</v>
      </c>
    </row>
    <row r="11" spans="1:12">
      <c r="A11" s="1">
        <v>45994</v>
      </c>
      <c r="B11" t="s">
        <v>137</v>
      </c>
      <c r="C11" t="s">
        <v>138</v>
      </c>
      <c r="D11">
        <v>8448867080</v>
      </c>
      <c r="F11">
        <v>9399</v>
      </c>
      <c r="G11" t="s">
        <v>13</v>
      </c>
      <c r="H11" t="s">
        <v>139</v>
      </c>
      <c r="I11">
        <v>4182</v>
      </c>
      <c r="J11" t="s">
        <v>113</v>
      </c>
      <c r="K11" t="s">
        <v>18</v>
      </c>
      <c r="L11" t="s">
        <v>18</v>
      </c>
    </row>
    <row r="12" spans="1:12">
      <c r="A12" s="1">
        <v>45994</v>
      </c>
      <c r="C12" t="s">
        <v>140</v>
      </c>
      <c r="G12" t="s">
        <v>13</v>
      </c>
      <c r="H12" t="s">
        <v>141</v>
      </c>
      <c r="I12">
        <v>1075</v>
      </c>
      <c r="J12" t="s">
        <v>113</v>
      </c>
      <c r="K12" t="s">
        <v>13</v>
      </c>
    </row>
    <row r="13" spans="1:12">
      <c r="A13" s="1">
        <v>45994</v>
      </c>
      <c r="B13" t="s">
        <v>142</v>
      </c>
      <c r="C13" t="s">
        <v>42</v>
      </c>
      <c r="D13">
        <v>7303192386</v>
      </c>
      <c r="F13">
        <v>18895</v>
      </c>
      <c r="G13" t="s">
        <v>18</v>
      </c>
      <c r="H13" t="s">
        <v>143</v>
      </c>
      <c r="I13">
        <v>1753</v>
      </c>
      <c r="J13" t="s">
        <v>144</v>
      </c>
      <c r="K13" t="s">
        <v>18</v>
      </c>
      <c r="L13" t="s">
        <v>18</v>
      </c>
    </row>
    <row r="14" spans="1:12">
      <c r="A14" s="1">
        <v>45994</v>
      </c>
      <c r="B14" t="s">
        <v>145</v>
      </c>
      <c r="C14" t="s">
        <v>147</v>
      </c>
      <c r="D14">
        <v>9873628403</v>
      </c>
      <c r="F14">
        <v>35394</v>
      </c>
      <c r="G14" t="s">
        <v>18</v>
      </c>
      <c r="H14" t="s">
        <v>146</v>
      </c>
      <c r="I14">
        <v>2011</v>
      </c>
      <c r="J14" t="s">
        <v>148</v>
      </c>
      <c r="K14" t="s">
        <v>13</v>
      </c>
    </row>
    <row r="15" spans="1:12">
      <c r="A15" s="1">
        <v>45995</v>
      </c>
      <c r="B15" t="s">
        <v>150</v>
      </c>
      <c r="C15" t="s">
        <v>149</v>
      </c>
      <c r="D15">
        <v>8285771136</v>
      </c>
      <c r="F15">
        <v>54036</v>
      </c>
      <c r="G15" t="s">
        <v>18</v>
      </c>
      <c r="H15" t="s">
        <v>141</v>
      </c>
      <c r="I15">
        <v>1075</v>
      </c>
      <c r="J15" t="s">
        <v>113</v>
      </c>
      <c r="K15" t="s">
        <v>13</v>
      </c>
    </row>
    <row r="16" spans="1:12">
      <c r="A16" s="1">
        <v>45995</v>
      </c>
      <c r="B16" t="s">
        <v>64</v>
      </c>
      <c r="C16" t="s">
        <v>65</v>
      </c>
      <c r="D16">
        <v>7404329866</v>
      </c>
      <c r="F16">
        <v>22583</v>
      </c>
      <c r="G16" t="s">
        <v>18</v>
      </c>
      <c r="H16" t="s">
        <v>151</v>
      </c>
      <c r="I16">
        <v>750</v>
      </c>
      <c r="J16" t="s">
        <v>152</v>
      </c>
      <c r="K16" t="s">
        <v>13</v>
      </c>
    </row>
    <row r="17" spans="1:12">
      <c r="A17" s="1">
        <v>45995</v>
      </c>
      <c r="B17" t="s">
        <v>153</v>
      </c>
      <c r="C17" t="s">
        <v>154</v>
      </c>
      <c r="D17">
        <v>9350606294</v>
      </c>
      <c r="F17">
        <v>32724</v>
      </c>
      <c r="G17" t="s">
        <v>18</v>
      </c>
      <c r="H17" t="s">
        <v>155</v>
      </c>
      <c r="I17">
        <v>3163</v>
      </c>
      <c r="J17" t="s">
        <v>113</v>
      </c>
      <c r="K17" t="s">
        <v>18</v>
      </c>
      <c r="L17" t="s">
        <v>18</v>
      </c>
    </row>
    <row r="18" spans="1:12">
      <c r="A18" s="1">
        <v>45995</v>
      </c>
      <c r="B18" t="s">
        <v>157</v>
      </c>
      <c r="C18" t="s">
        <v>158</v>
      </c>
      <c r="D18">
        <v>9911428205</v>
      </c>
      <c r="F18">
        <v>37504</v>
      </c>
      <c r="G18" t="s">
        <v>18</v>
      </c>
      <c r="H18" t="s">
        <v>156</v>
      </c>
      <c r="I18">
        <v>1852</v>
      </c>
      <c r="J18" t="s">
        <v>113</v>
      </c>
      <c r="K18" t="s">
        <v>13</v>
      </c>
    </row>
    <row r="19" spans="1:12">
      <c r="A19" s="1">
        <v>45996</v>
      </c>
      <c r="B19" t="s">
        <v>160</v>
      </c>
      <c r="C19" t="s">
        <v>159</v>
      </c>
      <c r="D19">
        <v>9643884388</v>
      </c>
      <c r="F19">
        <v>7900</v>
      </c>
      <c r="G19" t="s">
        <v>18</v>
      </c>
      <c r="H19" t="s">
        <v>37</v>
      </c>
      <c r="I19">
        <v>767</v>
      </c>
      <c r="J19" t="s">
        <v>126</v>
      </c>
      <c r="K19" t="s">
        <v>13</v>
      </c>
    </row>
    <row r="20" spans="1:12">
      <c r="A20" s="1">
        <v>45996</v>
      </c>
      <c r="B20" t="s">
        <v>161</v>
      </c>
      <c r="C20" t="s">
        <v>162</v>
      </c>
      <c r="D20">
        <v>9311110808</v>
      </c>
      <c r="F20">
        <v>3501</v>
      </c>
      <c r="G20" t="s">
        <v>18</v>
      </c>
      <c r="H20" t="s">
        <v>37</v>
      </c>
      <c r="I20">
        <v>767</v>
      </c>
      <c r="J20" t="s">
        <v>126</v>
      </c>
      <c r="K20" t="s">
        <v>13</v>
      </c>
    </row>
    <row r="21" spans="1:12">
      <c r="A21" s="1">
        <v>45996</v>
      </c>
      <c r="B21" t="s">
        <v>163</v>
      </c>
      <c r="C21" t="s">
        <v>164</v>
      </c>
      <c r="D21">
        <v>8700048490</v>
      </c>
      <c r="F21">
        <v>21634</v>
      </c>
      <c r="G21" t="s">
        <v>18</v>
      </c>
      <c r="H21" t="s">
        <v>165</v>
      </c>
      <c r="I21">
        <v>1400</v>
      </c>
      <c r="J21" t="s">
        <v>113</v>
      </c>
      <c r="K21" t="s">
        <v>13</v>
      </c>
    </row>
    <row r="22" spans="1:12">
      <c r="A22" s="1">
        <v>45997</v>
      </c>
      <c r="B22" t="s">
        <v>166</v>
      </c>
      <c r="C22" t="s">
        <v>168</v>
      </c>
      <c r="D22">
        <v>9910292192</v>
      </c>
      <c r="F22">
        <v>6886</v>
      </c>
      <c r="G22" t="s">
        <v>18</v>
      </c>
      <c r="H22" t="s">
        <v>37</v>
      </c>
      <c r="I22">
        <v>767</v>
      </c>
      <c r="J22" t="s">
        <v>167</v>
      </c>
      <c r="K22" t="s">
        <v>13</v>
      </c>
    </row>
    <row r="23" spans="1:12">
      <c r="A23" s="1">
        <v>45997</v>
      </c>
      <c r="B23" t="s">
        <v>169</v>
      </c>
      <c r="C23" t="s">
        <v>171</v>
      </c>
      <c r="D23">
        <v>7982602348</v>
      </c>
      <c r="F23">
        <v>11907</v>
      </c>
      <c r="G23" t="s">
        <v>18</v>
      </c>
      <c r="H23" t="s">
        <v>170</v>
      </c>
      <c r="I23">
        <v>1149</v>
      </c>
      <c r="J23" t="s">
        <v>113</v>
      </c>
      <c r="K23" t="s">
        <v>13</v>
      </c>
    </row>
    <row r="24" spans="1:12">
      <c r="A24" s="1">
        <v>45997</v>
      </c>
      <c r="B24" t="s">
        <v>172</v>
      </c>
      <c r="C24" t="s">
        <v>174</v>
      </c>
      <c r="D24">
        <v>7827784474</v>
      </c>
      <c r="E24" t="s">
        <v>173</v>
      </c>
      <c r="F24">
        <v>1864</v>
      </c>
      <c r="G24" t="s">
        <v>18</v>
      </c>
      <c r="H24" t="s">
        <v>175</v>
      </c>
      <c r="I24">
        <v>1417</v>
      </c>
      <c r="J24" t="s">
        <v>113</v>
      </c>
      <c r="K24" t="s">
        <v>13</v>
      </c>
    </row>
    <row r="25" spans="1:12">
      <c r="A25" s="1">
        <v>45997</v>
      </c>
      <c r="B25" t="s">
        <v>176</v>
      </c>
      <c r="C25" t="s">
        <v>177</v>
      </c>
      <c r="D25">
        <v>9811146971</v>
      </c>
      <c r="F25">
        <v>25156</v>
      </c>
      <c r="G25" t="s">
        <v>18</v>
      </c>
      <c r="H25" t="s">
        <v>178</v>
      </c>
      <c r="I25">
        <v>884</v>
      </c>
      <c r="J25" t="s">
        <v>113</v>
      </c>
      <c r="K25" t="s">
        <v>13</v>
      </c>
    </row>
    <row r="26" spans="1:12">
      <c r="A26" s="1">
        <v>45997</v>
      </c>
      <c r="B26" t="s">
        <v>179</v>
      </c>
      <c r="C26" t="s">
        <v>74</v>
      </c>
      <c r="D26">
        <v>9540684357</v>
      </c>
      <c r="F26">
        <v>36170</v>
      </c>
      <c r="G26" t="s">
        <v>106</v>
      </c>
      <c r="H26" t="s">
        <v>180</v>
      </c>
      <c r="I26">
        <v>4800</v>
      </c>
      <c r="J26" t="s">
        <v>181</v>
      </c>
      <c r="K26" t="s">
        <v>106</v>
      </c>
    </row>
    <row r="27" spans="1:12">
      <c r="A27" s="1">
        <v>45998</v>
      </c>
      <c r="B27" t="s">
        <v>182</v>
      </c>
      <c r="C27" t="s">
        <v>183</v>
      </c>
      <c r="D27">
        <v>9354323438</v>
      </c>
      <c r="F27">
        <v>72282</v>
      </c>
      <c r="G27" t="s">
        <v>106</v>
      </c>
      <c r="H27" t="s">
        <v>184</v>
      </c>
      <c r="I27">
        <v>1200</v>
      </c>
      <c r="J27" t="s">
        <v>11</v>
      </c>
      <c r="K27" t="s">
        <v>8</v>
      </c>
      <c r="L27" t="s">
        <v>18</v>
      </c>
    </row>
    <row r="28" spans="1:12">
      <c r="A28" s="1">
        <v>45998</v>
      </c>
      <c r="B28" t="s">
        <v>185</v>
      </c>
      <c r="C28" t="s">
        <v>186</v>
      </c>
      <c r="D28">
        <v>8368548633</v>
      </c>
      <c r="F28">
        <v>38800</v>
      </c>
      <c r="G28" t="s">
        <v>106</v>
      </c>
      <c r="H28" t="s">
        <v>196</v>
      </c>
      <c r="I28">
        <v>1075</v>
      </c>
      <c r="J28" t="s">
        <v>11</v>
      </c>
      <c r="K28" t="s">
        <v>106</v>
      </c>
    </row>
    <row r="29" spans="1:12">
      <c r="A29" s="1">
        <v>45998</v>
      </c>
      <c r="B29" t="s">
        <v>187</v>
      </c>
      <c r="C29" t="s">
        <v>188</v>
      </c>
      <c r="D29">
        <v>9910409191</v>
      </c>
      <c r="F29">
        <v>48490</v>
      </c>
      <c r="G29" t="s">
        <v>8</v>
      </c>
      <c r="H29" t="s">
        <v>189</v>
      </c>
      <c r="I29">
        <v>4880</v>
      </c>
      <c r="J29" t="s">
        <v>32</v>
      </c>
      <c r="K29" t="s">
        <v>106</v>
      </c>
    </row>
    <row r="30" spans="1:12">
      <c r="A30" s="1">
        <v>45998</v>
      </c>
      <c r="B30" t="s">
        <v>192</v>
      </c>
      <c r="C30" t="s">
        <v>191</v>
      </c>
      <c r="D30">
        <v>9868243185</v>
      </c>
      <c r="F30">
        <v>82411</v>
      </c>
      <c r="G30" t="s">
        <v>106</v>
      </c>
      <c r="H30" t="s">
        <v>190</v>
      </c>
      <c r="I30">
        <v>500</v>
      </c>
      <c r="J30" t="s">
        <v>11</v>
      </c>
      <c r="K30" t="s">
        <v>106</v>
      </c>
    </row>
    <row r="31" spans="1:12">
      <c r="A31" s="1">
        <v>45998</v>
      </c>
      <c r="B31" t="s">
        <v>193</v>
      </c>
      <c r="C31" t="s">
        <v>194</v>
      </c>
      <c r="D31">
        <v>8800288988</v>
      </c>
      <c r="F31">
        <v>58471</v>
      </c>
      <c r="G31" t="s">
        <v>106</v>
      </c>
      <c r="H31" t="s">
        <v>195</v>
      </c>
      <c r="I31">
        <v>50</v>
      </c>
      <c r="J31" t="s">
        <v>32</v>
      </c>
      <c r="K31" t="s">
        <v>106</v>
      </c>
    </row>
    <row r="32" spans="1:12">
      <c r="A32" s="1">
        <v>45998</v>
      </c>
      <c r="B32" t="s">
        <v>197</v>
      </c>
      <c r="C32" t="s">
        <v>198</v>
      </c>
      <c r="D32">
        <v>9068194709</v>
      </c>
      <c r="F32">
        <v>15362</v>
      </c>
      <c r="G32" t="s">
        <v>8</v>
      </c>
      <c r="H32" t="s">
        <v>199</v>
      </c>
      <c r="I32">
        <v>3909</v>
      </c>
      <c r="J32" t="s">
        <v>11</v>
      </c>
      <c r="K32" t="s">
        <v>106</v>
      </c>
    </row>
    <row r="33" spans="1:12">
      <c r="A33" s="4">
        <v>45998</v>
      </c>
      <c r="B33" s="3" t="s">
        <v>200</v>
      </c>
      <c r="C33" s="3" t="s">
        <v>201</v>
      </c>
      <c r="D33" s="3">
        <v>9953901893</v>
      </c>
      <c r="E33" s="3"/>
      <c r="F33" s="3">
        <v>34513</v>
      </c>
      <c r="G33" s="3"/>
      <c r="H33" s="3" t="s">
        <v>208</v>
      </c>
      <c r="I33">
        <v>0</v>
      </c>
    </row>
    <row r="34" spans="1:12">
      <c r="A34" s="1">
        <v>45998</v>
      </c>
      <c r="B34" t="s">
        <v>202</v>
      </c>
      <c r="C34" t="s">
        <v>203</v>
      </c>
      <c r="D34">
        <v>9990084668</v>
      </c>
      <c r="F34">
        <v>4276</v>
      </c>
      <c r="G34" t="s">
        <v>8</v>
      </c>
      <c r="H34" t="s">
        <v>207</v>
      </c>
      <c r="I34">
        <v>649</v>
      </c>
      <c r="J34" t="s">
        <v>126</v>
      </c>
      <c r="K34" t="s">
        <v>106</v>
      </c>
    </row>
    <row r="35" spans="1:12">
      <c r="A35" s="1">
        <v>45998</v>
      </c>
      <c r="B35" t="s">
        <v>204</v>
      </c>
      <c r="C35" t="s">
        <v>205</v>
      </c>
      <c r="D35">
        <v>9899632483</v>
      </c>
      <c r="F35">
        <v>12548</v>
      </c>
      <c r="G35" t="s">
        <v>8</v>
      </c>
      <c r="H35" t="s">
        <v>206</v>
      </c>
      <c r="I35">
        <v>649</v>
      </c>
      <c r="J35" t="s">
        <v>11</v>
      </c>
      <c r="K35" t="s">
        <v>106</v>
      </c>
    </row>
    <row r="36" spans="1:12">
      <c r="A36" s="1">
        <v>45999</v>
      </c>
      <c r="B36" t="s">
        <v>209</v>
      </c>
      <c r="C36" t="s">
        <v>210</v>
      </c>
      <c r="D36">
        <v>9871517054</v>
      </c>
      <c r="E36" t="s">
        <v>211</v>
      </c>
      <c r="F36">
        <v>3946</v>
      </c>
      <c r="G36" t="s">
        <v>18</v>
      </c>
      <c r="H36" t="s">
        <v>206</v>
      </c>
      <c r="I36">
        <v>767</v>
      </c>
      <c r="J36" t="s">
        <v>126</v>
      </c>
      <c r="K36" t="s">
        <v>13</v>
      </c>
    </row>
    <row r="37" spans="1:12">
      <c r="A37" s="1">
        <v>45999</v>
      </c>
      <c r="B37" t="s">
        <v>212</v>
      </c>
      <c r="C37" t="s">
        <v>213</v>
      </c>
      <c r="D37">
        <v>8700016591</v>
      </c>
      <c r="F37">
        <v>20000</v>
      </c>
      <c r="G37" t="s">
        <v>18</v>
      </c>
      <c r="H37" t="s">
        <v>214</v>
      </c>
      <c r="I37">
        <v>9055</v>
      </c>
      <c r="J37" t="s">
        <v>113</v>
      </c>
      <c r="K37" t="s">
        <v>18</v>
      </c>
      <c r="L37" t="s">
        <v>18</v>
      </c>
    </row>
    <row r="38" spans="1:12">
      <c r="A38" s="1">
        <v>45999</v>
      </c>
      <c r="B38" t="s">
        <v>215</v>
      </c>
      <c r="C38" t="s">
        <v>220</v>
      </c>
      <c r="D38">
        <v>9818442771</v>
      </c>
      <c r="F38">
        <v>21259</v>
      </c>
      <c r="G38" t="s">
        <v>18</v>
      </c>
      <c r="H38" t="s">
        <v>216</v>
      </c>
      <c r="I38">
        <v>2001</v>
      </c>
      <c r="J38" t="s">
        <v>113</v>
      </c>
      <c r="K38" t="s">
        <v>13</v>
      </c>
    </row>
    <row r="39" spans="1:12">
      <c r="A39" s="1">
        <v>45999</v>
      </c>
      <c r="B39" t="s">
        <v>217</v>
      </c>
      <c r="C39" t="s">
        <v>218</v>
      </c>
      <c r="D39">
        <v>9716441617</v>
      </c>
      <c r="F39">
        <v>10000</v>
      </c>
      <c r="G39" t="s">
        <v>18</v>
      </c>
      <c r="H39" t="s">
        <v>219</v>
      </c>
      <c r="I39">
        <v>850</v>
      </c>
      <c r="J39" t="s">
        <v>113</v>
      </c>
      <c r="K39" t="s">
        <v>13</v>
      </c>
    </row>
    <row r="40" spans="1:12">
      <c r="A40" s="1">
        <v>45999</v>
      </c>
      <c r="B40" t="s">
        <v>221</v>
      </c>
      <c r="C40" t="s">
        <v>224</v>
      </c>
      <c r="D40">
        <v>9911650764</v>
      </c>
      <c r="F40">
        <v>15431</v>
      </c>
      <c r="G40" t="s">
        <v>18</v>
      </c>
      <c r="H40" t="s">
        <v>222</v>
      </c>
      <c r="I40">
        <v>3715</v>
      </c>
      <c r="J40" t="s">
        <v>223</v>
      </c>
      <c r="K40" t="s">
        <v>13</v>
      </c>
    </row>
    <row r="41" spans="1:12">
      <c r="A41" s="1">
        <v>45999</v>
      </c>
      <c r="B41" t="s">
        <v>25</v>
      </c>
      <c r="C41" t="s">
        <v>26</v>
      </c>
      <c r="D41">
        <v>9910254037</v>
      </c>
      <c r="F41">
        <v>109247</v>
      </c>
      <c r="G41" t="s">
        <v>13</v>
      </c>
      <c r="H41" t="s">
        <v>225</v>
      </c>
      <c r="I41">
        <v>400</v>
      </c>
      <c r="J41" t="s">
        <v>113</v>
      </c>
      <c r="K41" t="s">
        <v>13</v>
      </c>
    </row>
    <row r="42" spans="1:12">
      <c r="A42" s="1">
        <v>46001</v>
      </c>
      <c r="B42" t="s">
        <v>226</v>
      </c>
      <c r="C42" t="s">
        <v>227</v>
      </c>
      <c r="D42">
        <v>8527214333</v>
      </c>
      <c r="G42" t="s">
        <v>13</v>
      </c>
      <c r="H42" t="s">
        <v>228</v>
      </c>
      <c r="I42">
        <v>500</v>
      </c>
      <c r="J42" t="s">
        <v>229</v>
      </c>
      <c r="K42" t="s">
        <v>13</v>
      </c>
    </row>
    <row r="43" spans="1:12">
      <c r="A43" s="1">
        <v>46001</v>
      </c>
      <c r="B43" t="s">
        <v>230</v>
      </c>
      <c r="C43" t="s">
        <v>231</v>
      </c>
      <c r="D43">
        <v>8950300678</v>
      </c>
      <c r="F43">
        <v>61320</v>
      </c>
      <c r="G43" t="s">
        <v>18</v>
      </c>
      <c r="H43" t="s">
        <v>232</v>
      </c>
      <c r="I43">
        <v>5887</v>
      </c>
      <c r="J43" t="s">
        <v>113</v>
      </c>
      <c r="K43" t="s">
        <v>13</v>
      </c>
    </row>
    <row r="44" spans="1:12">
      <c r="A44" s="1">
        <v>46001</v>
      </c>
      <c r="B44" t="s">
        <v>234</v>
      </c>
      <c r="C44" t="s">
        <v>233</v>
      </c>
      <c r="D44">
        <v>9582220315</v>
      </c>
      <c r="F44">
        <v>32134</v>
      </c>
      <c r="G44" t="s">
        <v>18</v>
      </c>
      <c r="H44" t="s">
        <v>37</v>
      </c>
      <c r="I44">
        <v>649</v>
      </c>
      <c r="J44" t="s">
        <v>113</v>
      </c>
      <c r="K44" t="s">
        <v>13</v>
      </c>
    </row>
    <row r="45" spans="1:12">
      <c r="A45" s="1">
        <v>46002</v>
      </c>
      <c r="B45" t="s">
        <v>235</v>
      </c>
      <c r="C45" t="s">
        <v>236</v>
      </c>
      <c r="D45">
        <v>6006244879</v>
      </c>
      <c r="F45">
        <v>19912</v>
      </c>
      <c r="G45" t="s">
        <v>18</v>
      </c>
      <c r="H45" t="s">
        <v>237</v>
      </c>
      <c r="I45">
        <v>1542</v>
      </c>
      <c r="J45" t="s">
        <v>113</v>
      </c>
      <c r="K45" t="s">
        <v>13</v>
      </c>
    </row>
    <row r="46" spans="1:12">
      <c r="A46" s="1">
        <v>46002</v>
      </c>
      <c r="B46" t="s">
        <v>238</v>
      </c>
      <c r="C46" t="s">
        <v>239</v>
      </c>
      <c r="D46">
        <v>9671531262</v>
      </c>
      <c r="F46">
        <v>19913</v>
      </c>
      <c r="G46" t="s">
        <v>18</v>
      </c>
      <c r="H46" t="s">
        <v>240</v>
      </c>
      <c r="I46">
        <v>3335</v>
      </c>
      <c r="J46" t="s">
        <v>113</v>
      </c>
      <c r="K46" t="s">
        <v>13</v>
      </c>
    </row>
    <row r="47" spans="1:12">
      <c r="A47" s="1">
        <v>46002</v>
      </c>
      <c r="B47" t="s">
        <v>241</v>
      </c>
      <c r="C47" t="s">
        <v>242</v>
      </c>
      <c r="D47">
        <v>8700306267</v>
      </c>
      <c r="F47">
        <v>24093</v>
      </c>
      <c r="H47" t="s">
        <v>243</v>
      </c>
      <c r="I47">
        <v>6000</v>
      </c>
      <c r="J47" t="s">
        <v>251</v>
      </c>
      <c r="K47" t="s">
        <v>13</v>
      </c>
    </row>
    <row r="48" spans="1:12">
      <c r="A48" s="1">
        <v>46003</v>
      </c>
      <c r="B48" t="s">
        <v>244</v>
      </c>
      <c r="C48" t="s">
        <v>245</v>
      </c>
      <c r="D48">
        <v>9530677523</v>
      </c>
      <c r="G48" t="s">
        <v>13</v>
      </c>
      <c r="H48" t="s">
        <v>258</v>
      </c>
      <c r="I48">
        <v>1075</v>
      </c>
      <c r="J48" t="s">
        <v>113</v>
      </c>
      <c r="K48" t="s">
        <v>13</v>
      </c>
    </row>
    <row r="49" spans="1:12">
      <c r="A49" s="1">
        <v>46003</v>
      </c>
      <c r="B49" t="s">
        <v>246</v>
      </c>
      <c r="C49" t="s">
        <v>247</v>
      </c>
      <c r="D49">
        <v>9354371163</v>
      </c>
      <c r="F49">
        <v>47511</v>
      </c>
      <c r="G49" t="s">
        <v>13</v>
      </c>
      <c r="H49" t="s">
        <v>248</v>
      </c>
      <c r="I49">
        <v>400</v>
      </c>
      <c r="J49" t="s">
        <v>126</v>
      </c>
      <c r="K49" t="s">
        <v>13</v>
      </c>
    </row>
    <row r="50" spans="1:12">
      <c r="A50" s="1">
        <v>46003</v>
      </c>
      <c r="B50" t="s">
        <v>249</v>
      </c>
      <c r="C50" t="s">
        <v>128</v>
      </c>
      <c r="D50">
        <v>9891757732</v>
      </c>
      <c r="F50">
        <v>8119</v>
      </c>
      <c r="G50" t="s">
        <v>13</v>
      </c>
      <c r="H50" t="s">
        <v>250</v>
      </c>
      <c r="I50">
        <v>2000</v>
      </c>
      <c r="J50" t="s">
        <v>113</v>
      </c>
      <c r="K50" t="s">
        <v>13</v>
      </c>
    </row>
    <row r="51" spans="1:12">
      <c r="A51" s="1">
        <v>46003</v>
      </c>
      <c r="B51" t="s">
        <v>253</v>
      </c>
      <c r="C51" t="s">
        <v>252</v>
      </c>
      <c r="D51">
        <v>7011416800</v>
      </c>
      <c r="F51">
        <v>64980</v>
      </c>
      <c r="G51" t="s">
        <v>18</v>
      </c>
      <c r="H51" t="s">
        <v>37</v>
      </c>
      <c r="I51">
        <v>649</v>
      </c>
      <c r="J51" t="s">
        <v>254</v>
      </c>
      <c r="K51" t="s">
        <v>13</v>
      </c>
    </row>
    <row r="52" spans="1:12">
      <c r="A52" s="1">
        <v>46003</v>
      </c>
      <c r="B52" t="s">
        <v>256</v>
      </c>
      <c r="C52" t="s">
        <v>255</v>
      </c>
      <c r="D52">
        <v>7042612619</v>
      </c>
      <c r="F52">
        <v>37841</v>
      </c>
      <c r="G52" t="s">
        <v>18</v>
      </c>
      <c r="H52" t="s">
        <v>257</v>
      </c>
      <c r="I52">
        <v>400</v>
      </c>
      <c r="J52" t="s">
        <v>126</v>
      </c>
      <c r="K52" t="s">
        <v>13</v>
      </c>
    </row>
    <row r="53" spans="1:12">
      <c r="A53" s="1">
        <v>46003</v>
      </c>
      <c r="B53" t="s">
        <v>259</v>
      </c>
      <c r="C53" t="s">
        <v>261</v>
      </c>
      <c r="D53">
        <v>9716881871</v>
      </c>
      <c r="F53">
        <v>35266</v>
      </c>
      <c r="G53" t="s">
        <v>18</v>
      </c>
      <c r="H53" t="s">
        <v>260</v>
      </c>
      <c r="I53" s="5">
        <v>7236</v>
      </c>
      <c r="J53" t="s">
        <v>113</v>
      </c>
      <c r="K53" t="s">
        <v>18</v>
      </c>
      <c r="L53" t="s">
        <v>18</v>
      </c>
    </row>
    <row r="54" spans="1:12">
      <c r="A54" s="1">
        <v>46004</v>
      </c>
      <c r="B54" t="s">
        <v>262</v>
      </c>
      <c r="C54" t="s">
        <v>263</v>
      </c>
      <c r="D54">
        <v>7011967200</v>
      </c>
      <c r="F54">
        <v>27568</v>
      </c>
      <c r="G54" t="s">
        <v>18</v>
      </c>
      <c r="H54" t="s">
        <v>151</v>
      </c>
      <c r="I54" s="5">
        <v>750</v>
      </c>
      <c r="J54" t="s">
        <v>113</v>
      </c>
      <c r="K54" t="s">
        <v>13</v>
      </c>
    </row>
    <row r="55" spans="1:12">
      <c r="A55" s="1">
        <v>46004</v>
      </c>
      <c r="B55" t="s">
        <v>264</v>
      </c>
      <c r="C55" t="s">
        <v>265</v>
      </c>
      <c r="D55">
        <v>9891987756</v>
      </c>
      <c r="F55">
        <v>11179</v>
      </c>
      <c r="G55" t="s">
        <v>18</v>
      </c>
      <c r="H55" t="s">
        <v>266</v>
      </c>
      <c r="I55" s="5">
        <v>3200</v>
      </c>
      <c r="J55" t="s">
        <v>113</v>
      </c>
      <c r="K55" t="s">
        <v>13</v>
      </c>
    </row>
    <row r="56" spans="1:12">
      <c r="A56" s="1">
        <v>46004</v>
      </c>
      <c r="B56" t="s">
        <v>267</v>
      </c>
      <c r="C56" t="s">
        <v>268</v>
      </c>
      <c r="D56">
        <v>9971261143</v>
      </c>
      <c r="F56">
        <v>16002</v>
      </c>
      <c r="G56" t="s">
        <v>18</v>
      </c>
      <c r="H56" t="s">
        <v>29</v>
      </c>
      <c r="I56" s="5">
        <v>1656</v>
      </c>
      <c r="J56" t="s">
        <v>126</v>
      </c>
      <c r="K56" t="s">
        <v>13</v>
      </c>
    </row>
    <row r="57" spans="1:12">
      <c r="A57" s="1">
        <v>46004</v>
      </c>
      <c r="B57" t="s">
        <v>269</v>
      </c>
      <c r="C57" t="s">
        <v>270</v>
      </c>
      <c r="D57">
        <v>8700123577</v>
      </c>
      <c r="E57" t="s">
        <v>370</v>
      </c>
      <c r="F57">
        <v>50453</v>
      </c>
      <c r="G57" t="s">
        <v>13</v>
      </c>
      <c r="H57" t="s">
        <v>271</v>
      </c>
      <c r="I57" s="5">
        <v>8034</v>
      </c>
      <c r="J57" t="s">
        <v>113</v>
      </c>
      <c r="K57" t="s">
        <v>13</v>
      </c>
    </row>
    <row r="58" spans="1:12">
      <c r="A58" s="1">
        <v>46004</v>
      </c>
      <c r="B58" t="s">
        <v>272</v>
      </c>
      <c r="C58" t="s">
        <v>273</v>
      </c>
      <c r="D58">
        <v>9220494633</v>
      </c>
      <c r="F58">
        <v>31000</v>
      </c>
      <c r="G58" t="s">
        <v>13</v>
      </c>
      <c r="H58" t="s">
        <v>274</v>
      </c>
      <c r="I58" s="5">
        <v>2352</v>
      </c>
      <c r="J58" t="s">
        <v>113</v>
      </c>
      <c r="K58" t="s">
        <v>13</v>
      </c>
    </row>
    <row r="59" spans="1:12">
      <c r="A59" s="1">
        <v>46004</v>
      </c>
      <c r="B59" t="s">
        <v>275</v>
      </c>
      <c r="C59" t="s">
        <v>168</v>
      </c>
      <c r="D59">
        <v>9871477169</v>
      </c>
      <c r="F59">
        <v>46622</v>
      </c>
      <c r="G59" t="s">
        <v>13</v>
      </c>
      <c r="H59" t="s">
        <v>276</v>
      </c>
      <c r="I59" s="5">
        <v>1900</v>
      </c>
      <c r="J59" t="s">
        <v>113</v>
      </c>
      <c r="K59" t="s">
        <v>13</v>
      </c>
    </row>
    <row r="60" spans="1:12">
      <c r="A60" s="1">
        <v>46004</v>
      </c>
      <c r="B60" t="s">
        <v>277</v>
      </c>
      <c r="C60" t="s">
        <v>278</v>
      </c>
      <c r="D60">
        <v>9911945054</v>
      </c>
      <c r="F60">
        <v>29300</v>
      </c>
      <c r="G60" t="s">
        <v>18</v>
      </c>
      <c r="H60" t="s">
        <v>279</v>
      </c>
      <c r="I60" s="5">
        <v>1951</v>
      </c>
      <c r="J60" t="s">
        <v>113</v>
      </c>
      <c r="K60" t="s">
        <v>13</v>
      </c>
    </row>
    <row r="61" spans="1:12">
      <c r="A61" s="1">
        <v>46004</v>
      </c>
      <c r="B61" t="s">
        <v>280</v>
      </c>
      <c r="C61" t="s">
        <v>281</v>
      </c>
      <c r="D61">
        <v>9971717972</v>
      </c>
      <c r="F61">
        <v>38826</v>
      </c>
      <c r="G61" t="s">
        <v>18</v>
      </c>
      <c r="H61" t="s">
        <v>288</v>
      </c>
      <c r="I61" s="5">
        <v>4887</v>
      </c>
      <c r="J61" t="s">
        <v>126</v>
      </c>
      <c r="K61" t="s">
        <v>13</v>
      </c>
    </row>
    <row r="62" spans="1:12">
      <c r="A62" s="1">
        <v>46005</v>
      </c>
      <c r="B62" t="s">
        <v>282</v>
      </c>
      <c r="C62" t="s">
        <v>283</v>
      </c>
      <c r="D62">
        <v>8851496668</v>
      </c>
      <c r="F62">
        <v>21245</v>
      </c>
      <c r="G62" t="s">
        <v>13</v>
      </c>
      <c r="H62" t="s">
        <v>284</v>
      </c>
      <c r="I62">
        <v>5387</v>
      </c>
      <c r="J62" t="s">
        <v>113</v>
      </c>
      <c r="K62" t="s">
        <v>13</v>
      </c>
    </row>
    <row r="63" spans="1:12">
      <c r="A63" s="1">
        <v>46005</v>
      </c>
      <c r="B63" t="s">
        <v>285</v>
      </c>
      <c r="C63" t="s">
        <v>286</v>
      </c>
      <c r="D63">
        <v>9811347882</v>
      </c>
      <c r="F63">
        <v>60000</v>
      </c>
      <c r="G63" t="s">
        <v>13</v>
      </c>
      <c r="H63" t="s">
        <v>287</v>
      </c>
      <c r="I63">
        <v>400</v>
      </c>
      <c r="J63" t="s">
        <v>113</v>
      </c>
      <c r="K63" t="s">
        <v>13</v>
      </c>
    </row>
    <row r="64" spans="1:12">
      <c r="A64" s="1">
        <v>46005</v>
      </c>
      <c r="B64" t="s">
        <v>289</v>
      </c>
      <c r="C64" t="s">
        <v>291</v>
      </c>
      <c r="D64">
        <v>9910350313</v>
      </c>
      <c r="F64">
        <v>15990</v>
      </c>
      <c r="G64" t="s">
        <v>13</v>
      </c>
      <c r="H64" t="s">
        <v>290</v>
      </c>
      <c r="I64">
        <v>1700</v>
      </c>
      <c r="J64" t="s">
        <v>126</v>
      </c>
      <c r="K64" t="s">
        <v>18</v>
      </c>
      <c r="L64" t="s">
        <v>18</v>
      </c>
    </row>
    <row r="65" spans="1:21">
      <c r="A65" s="1">
        <v>46005</v>
      </c>
      <c r="B65" t="s">
        <v>73</v>
      </c>
      <c r="C65" t="s">
        <v>292</v>
      </c>
      <c r="D65">
        <v>7982224652</v>
      </c>
      <c r="F65">
        <v>38183</v>
      </c>
      <c r="G65" t="s">
        <v>13</v>
      </c>
      <c r="H65" t="s">
        <v>293</v>
      </c>
      <c r="I65">
        <v>1500</v>
      </c>
      <c r="J65" t="s">
        <v>113</v>
      </c>
      <c r="K65" t="s">
        <v>13</v>
      </c>
    </row>
    <row r="66" spans="1:21">
      <c r="A66" s="1">
        <v>46005</v>
      </c>
      <c r="B66" t="s">
        <v>294</v>
      </c>
      <c r="C66" t="s">
        <v>286</v>
      </c>
      <c r="D66">
        <v>9899295349</v>
      </c>
      <c r="F66">
        <v>56719</v>
      </c>
      <c r="G66" t="s">
        <v>13</v>
      </c>
      <c r="H66" t="s">
        <v>295</v>
      </c>
      <c r="I66">
        <v>2800</v>
      </c>
      <c r="J66" t="s">
        <v>113</v>
      </c>
      <c r="K66" t="s">
        <v>18</v>
      </c>
      <c r="L66" t="s">
        <v>18</v>
      </c>
    </row>
    <row r="67" spans="1:21">
      <c r="A67" s="11">
        <v>46005</v>
      </c>
      <c r="B67" t="s">
        <v>296</v>
      </c>
      <c r="C67" t="s">
        <v>298</v>
      </c>
      <c r="D67">
        <v>9991114051</v>
      </c>
      <c r="F67">
        <v>10305</v>
      </c>
      <c r="G67" t="s">
        <v>18</v>
      </c>
      <c r="H67" t="s">
        <v>297</v>
      </c>
      <c r="I67">
        <v>2457</v>
      </c>
      <c r="J67" t="s">
        <v>113</v>
      </c>
      <c r="K67" t="s">
        <v>18</v>
      </c>
      <c r="L67" t="s">
        <v>18</v>
      </c>
    </row>
    <row r="68" spans="1:21">
      <c r="A68" s="1">
        <v>46005</v>
      </c>
      <c r="B68" t="s">
        <v>179</v>
      </c>
      <c r="C68" t="s">
        <v>74</v>
      </c>
      <c r="D68">
        <v>9540684357</v>
      </c>
      <c r="F68">
        <v>36212</v>
      </c>
      <c r="G68" t="s">
        <v>18</v>
      </c>
      <c r="H68" t="s">
        <v>299</v>
      </c>
      <c r="I68">
        <v>2310</v>
      </c>
      <c r="J68" t="s">
        <v>113</v>
      </c>
      <c r="K68" t="s">
        <v>13</v>
      </c>
    </row>
    <row r="69" spans="1:21">
      <c r="A69" s="1">
        <v>46006</v>
      </c>
      <c r="B69" t="s">
        <v>300</v>
      </c>
      <c r="C69" t="s">
        <v>301</v>
      </c>
      <c r="D69">
        <v>9958880703</v>
      </c>
      <c r="F69">
        <v>59207</v>
      </c>
      <c r="G69" t="s">
        <v>18</v>
      </c>
      <c r="H69" t="s">
        <v>302</v>
      </c>
      <c r="I69">
        <v>12258</v>
      </c>
      <c r="J69" t="s">
        <v>113</v>
      </c>
      <c r="K69" t="s">
        <v>13</v>
      </c>
    </row>
    <row r="70" spans="1:21">
      <c r="A70" s="6">
        <v>46006</v>
      </c>
      <c r="B70" s="7" t="s">
        <v>303</v>
      </c>
      <c r="C70" s="7" t="s">
        <v>308</v>
      </c>
      <c r="D70">
        <v>9958880703</v>
      </c>
      <c r="E70" s="7"/>
      <c r="F70" s="7">
        <v>110000</v>
      </c>
      <c r="G70" s="7" t="s">
        <v>13</v>
      </c>
      <c r="H70" s="7" t="s">
        <v>304</v>
      </c>
      <c r="I70" s="7">
        <v>1600</v>
      </c>
      <c r="J70" s="7" t="s">
        <v>113</v>
      </c>
      <c r="K70" s="7" t="s">
        <v>13</v>
      </c>
      <c r="L70" s="7"/>
      <c r="M70" s="7" t="s">
        <v>313</v>
      </c>
      <c r="N70" s="7"/>
    </row>
    <row r="71" spans="1:21">
      <c r="A71" s="1">
        <v>46006</v>
      </c>
      <c r="B71" t="s">
        <v>305</v>
      </c>
      <c r="C71" t="s">
        <v>307</v>
      </c>
      <c r="D71">
        <v>9899844234</v>
      </c>
      <c r="F71">
        <v>28121</v>
      </c>
      <c r="G71" t="s">
        <v>18</v>
      </c>
      <c r="H71" t="s">
        <v>306</v>
      </c>
      <c r="I71">
        <v>850</v>
      </c>
      <c r="J71" t="s">
        <v>126</v>
      </c>
      <c r="K71" t="s">
        <v>13</v>
      </c>
      <c r="T71">
        <v>1700</v>
      </c>
    </row>
    <row r="72" spans="1:21">
      <c r="A72" s="1">
        <v>46006</v>
      </c>
      <c r="B72" t="s">
        <v>172</v>
      </c>
      <c r="C72" t="s">
        <v>174</v>
      </c>
      <c r="D72">
        <v>7827784474</v>
      </c>
      <c r="F72">
        <v>2077</v>
      </c>
      <c r="G72" t="s">
        <v>13</v>
      </c>
      <c r="H72" t="s">
        <v>309</v>
      </c>
      <c r="I72">
        <v>1007</v>
      </c>
      <c r="J72" t="s">
        <v>113</v>
      </c>
      <c r="K72" t="s">
        <v>18</v>
      </c>
      <c r="L72" t="s">
        <v>18</v>
      </c>
      <c r="T72">
        <v>850</v>
      </c>
    </row>
    <row r="73" spans="1:21">
      <c r="A73" s="1">
        <v>46006</v>
      </c>
      <c r="B73" t="s">
        <v>310</v>
      </c>
      <c r="C73" t="s">
        <v>311</v>
      </c>
      <c r="D73">
        <v>7042824863</v>
      </c>
      <c r="F73">
        <v>15528</v>
      </c>
      <c r="G73" t="s">
        <v>13</v>
      </c>
      <c r="H73" t="s">
        <v>312</v>
      </c>
      <c r="I73">
        <v>200</v>
      </c>
      <c r="J73" t="s">
        <v>113</v>
      </c>
      <c r="K73" t="s">
        <v>13</v>
      </c>
      <c r="T73">
        <f>SUM(T71:T72)</f>
        <v>2550</v>
      </c>
      <c r="U73">
        <f>T73/2</f>
        <v>1275</v>
      </c>
    </row>
    <row r="74" spans="1:21">
      <c r="A74" s="1">
        <v>46006</v>
      </c>
      <c r="B74" t="s">
        <v>315</v>
      </c>
      <c r="C74" t="s">
        <v>314</v>
      </c>
      <c r="D74">
        <v>9868756943</v>
      </c>
      <c r="F74">
        <v>11891</v>
      </c>
      <c r="G74" t="s">
        <v>18</v>
      </c>
      <c r="H74" t="s">
        <v>37</v>
      </c>
      <c r="I74">
        <v>829</v>
      </c>
      <c r="J74" t="s">
        <v>113</v>
      </c>
      <c r="K74" t="s">
        <v>13</v>
      </c>
    </row>
    <row r="75" spans="1:21">
      <c r="A75" s="1">
        <v>46006</v>
      </c>
      <c r="B75" t="s">
        <v>316</v>
      </c>
      <c r="C75" t="s">
        <v>111</v>
      </c>
      <c r="D75">
        <v>9811673216</v>
      </c>
      <c r="F75">
        <v>46760</v>
      </c>
      <c r="G75" t="s">
        <v>13</v>
      </c>
      <c r="H75" t="s">
        <v>151</v>
      </c>
      <c r="I75">
        <v>500</v>
      </c>
      <c r="J75" t="s">
        <v>113</v>
      </c>
      <c r="K75" t="s">
        <v>13</v>
      </c>
    </row>
    <row r="76" spans="1:21">
      <c r="A76" s="1">
        <v>46008</v>
      </c>
      <c r="B76" t="s">
        <v>317</v>
      </c>
      <c r="C76" t="s">
        <v>318</v>
      </c>
      <c r="D76">
        <v>9643212610</v>
      </c>
      <c r="F76">
        <v>36609</v>
      </c>
      <c r="G76" t="s">
        <v>18</v>
      </c>
      <c r="H76" t="s">
        <v>37</v>
      </c>
      <c r="I76">
        <v>649</v>
      </c>
      <c r="J76" t="s">
        <v>113</v>
      </c>
      <c r="K76" t="s">
        <v>13</v>
      </c>
    </row>
    <row r="77" spans="1:21">
      <c r="A77" s="1">
        <v>46008</v>
      </c>
      <c r="C77" t="s">
        <v>319</v>
      </c>
      <c r="D77">
        <v>9999559582</v>
      </c>
      <c r="G77" t="s">
        <v>13</v>
      </c>
      <c r="H77" t="s">
        <v>122</v>
      </c>
      <c r="I77">
        <v>400</v>
      </c>
      <c r="J77" t="s">
        <v>113</v>
      </c>
      <c r="K77" t="s">
        <v>13</v>
      </c>
    </row>
    <row r="78" spans="1:21">
      <c r="A78" s="1">
        <v>46008</v>
      </c>
      <c r="B78" t="s">
        <v>262</v>
      </c>
      <c r="C78" t="s">
        <v>263</v>
      </c>
      <c r="D78">
        <v>7011967200</v>
      </c>
      <c r="F78">
        <v>27908</v>
      </c>
      <c r="G78" t="s">
        <v>13</v>
      </c>
      <c r="H78" t="s">
        <v>320</v>
      </c>
      <c r="I78">
        <f>1007+250</f>
        <v>1257</v>
      </c>
      <c r="J78" t="s">
        <v>113</v>
      </c>
      <c r="K78" t="s">
        <v>18</v>
      </c>
      <c r="L78" t="s">
        <v>18</v>
      </c>
    </row>
    <row r="79" spans="1:21">
      <c r="A79" s="1">
        <v>46008</v>
      </c>
      <c r="B79" t="s">
        <v>321</v>
      </c>
      <c r="C79" t="s">
        <v>322</v>
      </c>
      <c r="D79">
        <v>9871419913</v>
      </c>
      <c r="E79" t="s">
        <v>323</v>
      </c>
      <c r="F79">
        <v>34811</v>
      </c>
      <c r="G79" t="s">
        <v>13</v>
      </c>
      <c r="H79" t="s">
        <v>324</v>
      </c>
      <c r="I79">
        <f>1075+775+1352+75+485</f>
        <v>3762</v>
      </c>
      <c r="J79" t="s">
        <v>113</v>
      </c>
      <c r="K79" t="s">
        <v>13</v>
      </c>
    </row>
    <row r="80" spans="1:21">
      <c r="A80" s="1">
        <v>46008</v>
      </c>
      <c r="B80" t="s">
        <v>325</v>
      </c>
      <c r="C80" t="s">
        <v>326</v>
      </c>
      <c r="D80">
        <v>7678160433</v>
      </c>
      <c r="F80">
        <v>15225</v>
      </c>
      <c r="G80" t="s">
        <v>18</v>
      </c>
      <c r="H80" t="s">
        <v>327</v>
      </c>
      <c r="I80">
        <f>800+1075+1656</f>
        <v>3531</v>
      </c>
      <c r="J80" t="s">
        <v>113</v>
      </c>
      <c r="K80" t="s">
        <v>13</v>
      </c>
    </row>
    <row r="81" spans="1:11">
      <c r="A81" s="1">
        <v>46008</v>
      </c>
      <c r="B81" t="s">
        <v>328</v>
      </c>
      <c r="C81" t="s">
        <v>330</v>
      </c>
      <c r="D81">
        <v>8368092801</v>
      </c>
      <c r="F81">
        <v>6573</v>
      </c>
      <c r="G81" t="s">
        <v>13</v>
      </c>
      <c r="H81" t="s">
        <v>329</v>
      </c>
      <c r="I81">
        <v>675</v>
      </c>
      <c r="J81" t="s">
        <v>126</v>
      </c>
      <c r="K81" t="s">
        <v>13</v>
      </c>
    </row>
    <row r="82" spans="1:11">
      <c r="A82" s="1">
        <v>46009</v>
      </c>
      <c r="B82" t="s">
        <v>331</v>
      </c>
      <c r="C82" t="s">
        <v>332</v>
      </c>
      <c r="D82">
        <v>9654352017</v>
      </c>
      <c r="F82">
        <v>34984</v>
      </c>
      <c r="G82" t="s">
        <v>18</v>
      </c>
      <c r="H82" t="s">
        <v>170</v>
      </c>
      <c r="I82">
        <v>1135</v>
      </c>
      <c r="J82" t="s">
        <v>113</v>
      </c>
      <c r="K82" t="s">
        <v>13</v>
      </c>
    </row>
    <row r="83" spans="1:11">
      <c r="A83" s="1">
        <v>46009</v>
      </c>
      <c r="B83" t="s">
        <v>333</v>
      </c>
      <c r="C83" t="s">
        <v>125</v>
      </c>
      <c r="D83">
        <v>8929672223</v>
      </c>
      <c r="F83">
        <v>20298</v>
      </c>
      <c r="G83" t="s">
        <v>18</v>
      </c>
      <c r="H83" t="s">
        <v>342</v>
      </c>
      <c r="I83">
        <v>1501</v>
      </c>
      <c r="J83" t="s">
        <v>113</v>
      </c>
      <c r="K83" t="s">
        <v>13</v>
      </c>
    </row>
    <row r="84" spans="1:11">
      <c r="A84" s="1">
        <v>46009</v>
      </c>
      <c r="B84" t="s">
        <v>334</v>
      </c>
      <c r="C84" t="s">
        <v>341</v>
      </c>
      <c r="D84">
        <v>8800996023</v>
      </c>
      <c r="F84">
        <v>1457</v>
      </c>
      <c r="G84" t="s">
        <v>18</v>
      </c>
      <c r="H84" t="s">
        <v>37</v>
      </c>
      <c r="I84">
        <v>767</v>
      </c>
      <c r="J84" t="s">
        <v>113</v>
      </c>
      <c r="K84" t="s">
        <v>13</v>
      </c>
    </row>
    <row r="85" spans="1:11">
      <c r="A85" s="1">
        <v>46009</v>
      </c>
      <c r="B85" t="s">
        <v>335</v>
      </c>
      <c r="C85" t="s">
        <v>339</v>
      </c>
      <c r="D85">
        <v>8527517111</v>
      </c>
      <c r="F85">
        <v>19344</v>
      </c>
      <c r="G85" t="s">
        <v>18</v>
      </c>
      <c r="H85" t="s">
        <v>340</v>
      </c>
      <c r="I85">
        <v>13307</v>
      </c>
      <c r="J85" t="s">
        <v>113</v>
      </c>
      <c r="K85" t="s">
        <v>13</v>
      </c>
    </row>
    <row r="86" spans="1:11">
      <c r="A86" s="1">
        <v>46009</v>
      </c>
      <c r="B86" t="s">
        <v>336</v>
      </c>
      <c r="C86" t="s">
        <v>338</v>
      </c>
      <c r="D86">
        <v>9990127629</v>
      </c>
      <c r="F86">
        <v>12996</v>
      </c>
      <c r="G86" t="s">
        <v>13</v>
      </c>
      <c r="H86" t="s">
        <v>141</v>
      </c>
      <c r="I86">
        <v>1075</v>
      </c>
      <c r="J86" t="s">
        <v>113</v>
      </c>
      <c r="K86" t="s">
        <v>13</v>
      </c>
    </row>
    <row r="87" spans="1:11">
      <c r="A87" s="1">
        <v>46009</v>
      </c>
      <c r="B87" t="s">
        <v>176</v>
      </c>
      <c r="C87" t="s">
        <v>177</v>
      </c>
      <c r="D87">
        <v>9811146971</v>
      </c>
      <c r="F87">
        <v>26176</v>
      </c>
      <c r="G87" t="s">
        <v>18</v>
      </c>
      <c r="H87" t="s">
        <v>337</v>
      </c>
      <c r="I87">
        <v>400</v>
      </c>
      <c r="J87" t="s">
        <v>113</v>
      </c>
      <c r="K87" t="s">
        <v>13</v>
      </c>
    </row>
    <row r="88" spans="1:11">
      <c r="A88" s="1">
        <v>46010</v>
      </c>
      <c r="B88" t="s">
        <v>343</v>
      </c>
      <c r="C88" t="s">
        <v>268</v>
      </c>
      <c r="D88">
        <v>8851979833</v>
      </c>
      <c r="F88">
        <v>68536</v>
      </c>
      <c r="G88" t="s">
        <v>13</v>
      </c>
      <c r="H88" t="s">
        <v>344</v>
      </c>
      <c r="I88">
        <v>900</v>
      </c>
      <c r="J88" t="s">
        <v>126</v>
      </c>
      <c r="K88" t="s">
        <v>13</v>
      </c>
    </row>
    <row r="89" spans="1:11">
      <c r="A89" s="1">
        <v>46010</v>
      </c>
      <c r="B89" t="s">
        <v>345</v>
      </c>
      <c r="C89" t="s">
        <v>111</v>
      </c>
      <c r="D89">
        <v>9015411420</v>
      </c>
      <c r="F89">
        <v>15664</v>
      </c>
      <c r="G89" t="s">
        <v>18</v>
      </c>
      <c r="H89" t="s">
        <v>346</v>
      </c>
      <c r="I89">
        <v>2534</v>
      </c>
      <c r="J89" t="s">
        <v>113</v>
      </c>
      <c r="K89" t="s">
        <v>13</v>
      </c>
    </row>
    <row r="90" spans="1:11">
      <c r="A90" s="1">
        <v>46010</v>
      </c>
      <c r="B90" t="s">
        <v>347</v>
      </c>
      <c r="C90" t="s">
        <v>339</v>
      </c>
      <c r="D90">
        <v>7566144922</v>
      </c>
      <c r="F90">
        <v>32789</v>
      </c>
      <c r="G90" t="s">
        <v>13</v>
      </c>
      <c r="H90" t="s">
        <v>348</v>
      </c>
      <c r="I90">
        <v>700</v>
      </c>
      <c r="J90" t="s">
        <v>113</v>
      </c>
      <c r="K90" t="s">
        <v>13</v>
      </c>
    </row>
    <row r="91" spans="1:11">
      <c r="A91" s="1">
        <v>46010</v>
      </c>
      <c r="B91" t="s">
        <v>349</v>
      </c>
      <c r="C91" t="s">
        <v>350</v>
      </c>
      <c r="D91">
        <v>8512880888</v>
      </c>
      <c r="F91">
        <v>20804</v>
      </c>
      <c r="G91" t="s">
        <v>18</v>
      </c>
      <c r="H91" t="s">
        <v>351</v>
      </c>
      <c r="I91">
        <v>2600</v>
      </c>
      <c r="J91" t="s">
        <v>126</v>
      </c>
      <c r="K91" t="s">
        <v>13</v>
      </c>
    </row>
    <row r="92" spans="1:11">
      <c r="A92" s="1">
        <v>46010</v>
      </c>
      <c r="B92" t="s">
        <v>352</v>
      </c>
      <c r="C92" t="s">
        <v>353</v>
      </c>
      <c r="D92">
        <v>9315923567</v>
      </c>
      <c r="F92">
        <v>51023</v>
      </c>
      <c r="G92" t="s">
        <v>13</v>
      </c>
      <c r="H92" t="s">
        <v>354</v>
      </c>
      <c r="I92">
        <f>2800+500+250</f>
        <v>3550</v>
      </c>
      <c r="J92" t="s">
        <v>113</v>
      </c>
      <c r="K92" t="s">
        <v>13</v>
      </c>
    </row>
    <row r="93" spans="1:11">
      <c r="A93" s="1">
        <v>46010</v>
      </c>
      <c r="C93" t="s">
        <v>355</v>
      </c>
      <c r="G93" t="s">
        <v>13</v>
      </c>
      <c r="H93" t="s">
        <v>356</v>
      </c>
      <c r="I93">
        <v>380</v>
      </c>
      <c r="J93" t="s">
        <v>113</v>
      </c>
      <c r="K93" t="s">
        <v>13</v>
      </c>
    </row>
    <row r="94" spans="1:11">
      <c r="A94" s="1">
        <v>46010</v>
      </c>
      <c r="C94" t="s">
        <v>357</v>
      </c>
      <c r="G94" t="s">
        <v>13</v>
      </c>
      <c r="H94" t="s">
        <v>358</v>
      </c>
      <c r="I94">
        <v>1500</v>
      </c>
      <c r="J94" t="s">
        <v>126</v>
      </c>
      <c r="K94" t="s">
        <v>13</v>
      </c>
    </row>
    <row r="95" spans="1:11">
      <c r="A95" s="1">
        <v>46011</v>
      </c>
      <c r="B95" t="s">
        <v>359</v>
      </c>
      <c r="C95" t="s">
        <v>360</v>
      </c>
      <c r="D95">
        <v>7982273420</v>
      </c>
      <c r="F95">
        <v>23032</v>
      </c>
      <c r="G95" t="s">
        <v>18</v>
      </c>
      <c r="H95" t="s">
        <v>361</v>
      </c>
      <c r="I95">
        <v>2200</v>
      </c>
      <c r="J95" t="s">
        <v>113</v>
      </c>
      <c r="K95" t="s">
        <v>13</v>
      </c>
    </row>
    <row r="96" spans="1:11">
      <c r="A96" s="1">
        <v>46011</v>
      </c>
      <c r="B96" t="s">
        <v>362</v>
      </c>
      <c r="C96" t="s">
        <v>363</v>
      </c>
      <c r="D96">
        <v>9999125259</v>
      </c>
      <c r="F96">
        <v>60785</v>
      </c>
      <c r="G96" t="s">
        <v>18</v>
      </c>
      <c r="H96" t="s">
        <v>37</v>
      </c>
      <c r="I96">
        <v>649</v>
      </c>
      <c r="J96" t="s">
        <v>113</v>
      </c>
      <c r="K96" t="s">
        <v>13</v>
      </c>
    </row>
    <row r="97" spans="1:13">
      <c r="A97" s="4">
        <v>46012</v>
      </c>
      <c r="B97" s="3" t="s">
        <v>364</v>
      </c>
      <c r="C97" s="3" t="s">
        <v>366</v>
      </c>
      <c r="D97" s="3">
        <v>9212442636</v>
      </c>
      <c r="E97" s="3"/>
      <c r="F97" s="3">
        <v>62000</v>
      </c>
      <c r="G97" s="3" t="s">
        <v>13</v>
      </c>
      <c r="H97" s="3" t="s">
        <v>365</v>
      </c>
      <c r="I97" s="3">
        <v>0</v>
      </c>
      <c r="J97" s="3"/>
      <c r="K97" s="3" t="s">
        <v>13</v>
      </c>
    </row>
    <row r="98" spans="1:13">
      <c r="A98" s="1">
        <v>46012</v>
      </c>
      <c r="B98" t="s">
        <v>367</v>
      </c>
      <c r="C98" t="s">
        <v>368</v>
      </c>
      <c r="D98">
        <v>9929384851</v>
      </c>
      <c r="F98">
        <v>26000</v>
      </c>
      <c r="G98" t="s">
        <v>18</v>
      </c>
      <c r="H98" t="s">
        <v>369</v>
      </c>
      <c r="I98">
        <f>1352+4887</f>
        <v>6239</v>
      </c>
      <c r="J98" t="s">
        <v>113</v>
      </c>
      <c r="K98" t="s">
        <v>13</v>
      </c>
    </row>
    <row r="99" spans="1:13">
      <c r="A99" s="1">
        <v>46012</v>
      </c>
      <c r="B99" t="s">
        <v>269</v>
      </c>
      <c r="C99" t="s">
        <v>270</v>
      </c>
      <c r="D99">
        <v>8700123577</v>
      </c>
      <c r="E99" t="s">
        <v>370</v>
      </c>
      <c r="F99">
        <v>50453</v>
      </c>
      <c r="G99" t="s">
        <v>18</v>
      </c>
      <c r="H99" t="s">
        <v>371</v>
      </c>
      <c r="I99">
        <f>610+610+30</f>
        <v>1250</v>
      </c>
      <c r="K99" t="s">
        <v>13</v>
      </c>
    </row>
    <row r="100" spans="1:13">
      <c r="A100" s="1">
        <v>46012</v>
      </c>
      <c r="B100" t="s">
        <v>372</v>
      </c>
      <c r="C100" t="s">
        <v>220</v>
      </c>
      <c r="D100" s="8">
        <v>9582561767</v>
      </c>
      <c r="F100">
        <v>10701</v>
      </c>
      <c r="G100" t="s">
        <v>13</v>
      </c>
      <c r="H100" t="s">
        <v>373</v>
      </c>
      <c r="I100">
        <v>100</v>
      </c>
      <c r="J100" t="s">
        <v>126</v>
      </c>
      <c r="K100" t="s">
        <v>13</v>
      </c>
    </row>
    <row r="101" spans="1:13">
      <c r="A101" s="1">
        <v>46012</v>
      </c>
      <c r="B101" t="s">
        <v>374</v>
      </c>
      <c r="C101" t="s">
        <v>376</v>
      </c>
      <c r="D101" t="s">
        <v>377</v>
      </c>
      <c r="F101">
        <v>34884</v>
      </c>
      <c r="H101" t="s">
        <v>375</v>
      </c>
      <c r="I101">
        <v>6300</v>
      </c>
      <c r="J101" t="s">
        <v>113</v>
      </c>
      <c r="K101" t="s">
        <v>13</v>
      </c>
    </row>
    <row r="102" spans="1:13">
      <c r="A102" s="1">
        <v>46012</v>
      </c>
      <c r="B102" t="s">
        <v>378</v>
      </c>
      <c r="C102" t="s">
        <v>379</v>
      </c>
      <c r="D102">
        <v>8384073532</v>
      </c>
      <c r="F102">
        <v>57725</v>
      </c>
      <c r="G102" t="s">
        <v>13</v>
      </c>
      <c r="H102" t="s">
        <v>380</v>
      </c>
      <c r="I102">
        <v>225</v>
      </c>
      <c r="J102" t="s">
        <v>113</v>
      </c>
      <c r="K102" t="s">
        <v>13</v>
      </c>
    </row>
    <row r="103" spans="1:13">
      <c r="A103" s="1">
        <v>46013</v>
      </c>
      <c r="B103" t="s">
        <v>381</v>
      </c>
      <c r="C103" s="9" t="s">
        <v>389</v>
      </c>
      <c r="D103" s="8">
        <v>9958181862</v>
      </c>
      <c r="E103" s="8" t="s">
        <v>390</v>
      </c>
      <c r="F103">
        <v>52867</v>
      </c>
      <c r="H103" t="s">
        <v>382</v>
      </c>
      <c r="I103">
        <v>2800</v>
      </c>
      <c r="J103" t="s">
        <v>394</v>
      </c>
      <c r="K103" t="s">
        <v>383</v>
      </c>
      <c r="L103" t="s">
        <v>18</v>
      </c>
    </row>
    <row r="104" spans="1:13">
      <c r="A104" s="1">
        <v>46013</v>
      </c>
      <c r="B104" t="s">
        <v>384</v>
      </c>
      <c r="C104" t="s">
        <v>385</v>
      </c>
      <c r="D104">
        <v>8920580419</v>
      </c>
      <c r="E104" t="s">
        <v>386</v>
      </c>
      <c r="F104">
        <v>6838</v>
      </c>
      <c r="H104" t="s">
        <v>387</v>
      </c>
      <c r="I104">
        <v>2300</v>
      </c>
      <c r="J104" t="s">
        <v>181</v>
      </c>
      <c r="K104" t="s">
        <v>383</v>
      </c>
      <c r="L104" t="s">
        <v>18</v>
      </c>
      <c r="M104" t="s">
        <v>388</v>
      </c>
    </row>
    <row r="105" spans="1:13">
      <c r="A105" s="1">
        <v>46013</v>
      </c>
      <c r="B105" t="s">
        <v>82</v>
      </c>
      <c r="C105" t="s">
        <v>391</v>
      </c>
      <c r="D105">
        <v>8447261956</v>
      </c>
      <c r="H105" t="s">
        <v>392</v>
      </c>
      <c r="I105">
        <v>6500</v>
      </c>
      <c r="J105" t="s">
        <v>393</v>
      </c>
      <c r="K105" t="s">
        <v>106</v>
      </c>
      <c r="L105" t="s">
        <v>106</v>
      </c>
    </row>
    <row r="106" spans="1:13">
      <c r="A106" s="1">
        <v>46015</v>
      </c>
      <c r="B106" t="s">
        <v>395</v>
      </c>
      <c r="C106" t="s">
        <v>396</v>
      </c>
      <c r="D106">
        <v>9873944709</v>
      </c>
      <c r="F106">
        <v>25762</v>
      </c>
      <c r="H106" t="s">
        <v>407</v>
      </c>
      <c r="I106">
        <f>1007+350</f>
        <v>1357</v>
      </c>
      <c r="J106" t="s">
        <v>113</v>
      </c>
      <c r="K106" t="s">
        <v>18</v>
      </c>
      <c r="L106" t="s">
        <v>18</v>
      </c>
    </row>
    <row r="107" spans="1:13">
      <c r="A107" s="1">
        <v>46015</v>
      </c>
      <c r="B107" t="s">
        <v>398</v>
      </c>
      <c r="C107" t="s">
        <v>399</v>
      </c>
      <c r="D107">
        <v>9650382207</v>
      </c>
      <c r="F107">
        <v>59763</v>
      </c>
      <c r="H107" t="s">
        <v>397</v>
      </c>
      <c r="I107">
        <v>500</v>
      </c>
      <c r="J107" t="s">
        <v>113</v>
      </c>
      <c r="K107" t="s">
        <v>13</v>
      </c>
    </row>
    <row r="108" spans="1:13">
      <c r="A108" s="1">
        <v>46015</v>
      </c>
      <c r="B108" t="s">
        <v>400</v>
      </c>
      <c r="C108" t="s">
        <v>401</v>
      </c>
      <c r="D108">
        <v>9968914105</v>
      </c>
      <c r="F108">
        <v>83536</v>
      </c>
      <c r="H108" t="s">
        <v>402</v>
      </c>
      <c r="I108">
        <v>1621</v>
      </c>
      <c r="J108" t="s">
        <v>113</v>
      </c>
      <c r="K108" t="s">
        <v>13</v>
      </c>
    </row>
    <row r="109" spans="1:13">
      <c r="A109" s="1">
        <v>46015</v>
      </c>
      <c r="B109" t="s">
        <v>404</v>
      </c>
      <c r="C109" t="s">
        <v>403</v>
      </c>
      <c r="D109">
        <v>7210610051</v>
      </c>
      <c r="F109">
        <v>14130</v>
      </c>
      <c r="H109" t="s">
        <v>406</v>
      </c>
      <c r="I109">
        <f>1885+1007+201</f>
        <v>3093</v>
      </c>
      <c r="J109" t="s">
        <v>113</v>
      </c>
      <c r="K109" t="s">
        <v>18</v>
      </c>
      <c r="L109" t="s">
        <v>18</v>
      </c>
    </row>
    <row r="110" spans="1:13">
      <c r="A110" s="1">
        <v>46015</v>
      </c>
      <c r="B110" t="s">
        <v>137</v>
      </c>
      <c r="C110" t="s">
        <v>138</v>
      </c>
      <c r="D110">
        <v>8448867080</v>
      </c>
      <c r="F110">
        <v>10950</v>
      </c>
      <c r="H110" t="s">
        <v>405</v>
      </c>
      <c r="I110">
        <f>1000+878+50</f>
        <v>1928</v>
      </c>
      <c r="J110" t="s">
        <v>113</v>
      </c>
      <c r="K110" t="s">
        <v>13</v>
      </c>
    </row>
    <row r="111" spans="1:13">
      <c r="A111" s="1">
        <v>46015</v>
      </c>
      <c r="B111" t="s">
        <v>408</v>
      </c>
      <c r="C111" t="s">
        <v>409</v>
      </c>
      <c r="D111">
        <v>9069608849</v>
      </c>
      <c r="F111">
        <v>19921</v>
      </c>
      <c r="G111" t="s">
        <v>18</v>
      </c>
      <c r="H111" t="s">
        <v>37</v>
      </c>
      <c r="I111">
        <v>649</v>
      </c>
      <c r="J111" t="s">
        <v>113</v>
      </c>
      <c r="K111" t="s">
        <v>13</v>
      </c>
    </row>
    <row r="112" spans="1:13">
      <c r="A112" s="1">
        <v>46015</v>
      </c>
      <c r="B112" t="s">
        <v>80</v>
      </c>
      <c r="C112" t="s">
        <v>411</v>
      </c>
      <c r="D112">
        <v>7827157880</v>
      </c>
      <c r="E112" t="s">
        <v>410</v>
      </c>
      <c r="F112">
        <v>6043</v>
      </c>
      <c r="G112" t="s">
        <v>18</v>
      </c>
      <c r="H112" t="s">
        <v>412</v>
      </c>
      <c r="I112">
        <f>649+770</f>
        <v>1419</v>
      </c>
      <c r="J112" t="s">
        <v>113</v>
      </c>
      <c r="K112" t="s">
        <v>13</v>
      </c>
    </row>
    <row r="113" spans="1:12">
      <c r="A113" s="1">
        <v>46015</v>
      </c>
      <c r="B113" t="s">
        <v>413</v>
      </c>
      <c r="C113" t="s">
        <v>414</v>
      </c>
      <c r="D113">
        <v>9818663391</v>
      </c>
      <c r="F113">
        <v>72105</v>
      </c>
      <c r="G113" t="s">
        <v>18</v>
      </c>
      <c r="H113" t="s">
        <v>418</v>
      </c>
      <c r="I113">
        <v>900</v>
      </c>
      <c r="J113" t="s">
        <v>113</v>
      </c>
      <c r="K113" t="s">
        <v>13</v>
      </c>
    </row>
    <row r="114" spans="1:12">
      <c r="A114" s="1">
        <v>46015</v>
      </c>
      <c r="B114" t="s">
        <v>415</v>
      </c>
      <c r="C114" t="s">
        <v>416</v>
      </c>
      <c r="D114">
        <v>8368915149</v>
      </c>
      <c r="E114" s="8" t="s">
        <v>417</v>
      </c>
      <c r="F114">
        <v>34500</v>
      </c>
      <c r="H114" t="s">
        <v>419</v>
      </c>
      <c r="I114">
        <f>4257+625+950+500</f>
        <v>6332</v>
      </c>
      <c r="J114" t="s">
        <v>113</v>
      </c>
      <c r="K114" t="s">
        <v>18</v>
      </c>
      <c r="L114" t="s">
        <v>18</v>
      </c>
    </row>
    <row r="115" spans="1:12">
      <c r="A115" s="1">
        <v>46016</v>
      </c>
      <c r="B115" t="s">
        <v>420</v>
      </c>
      <c r="C115" t="s">
        <v>421</v>
      </c>
      <c r="D115">
        <v>8279688819</v>
      </c>
      <c r="E115" t="s">
        <v>423</v>
      </c>
      <c r="F115">
        <v>30000</v>
      </c>
      <c r="G115" t="s">
        <v>13</v>
      </c>
      <c r="H115" t="s">
        <v>422</v>
      </c>
      <c r="I115">
        <v>4887</v>
      </c>
      <c r="J115" t="s">
        <v>113</v>
      </c>
      <c r="K115" t="s">
        <v>13</v>
      </c>
    </row>
    <row r="116" spans="1:12">
      <c r="A116" s="1">
        <v>46016</v>
      </c>
      <c r="B116" t="s">
        <v>424</v>
      </c>
      <c r="C116" t="s">
        <v>425</v>
      </c>
      <c r="D116">
        <v>8851316992</v>
      </c>
      <c r="F116">
        <v>24305</v>
      </c>
      <c r="G116" t="s">
        <v>18</v>
      </c>
      <c r="H116" t="s">
        <v>37</v>
      </c>
      <c r="I116">
        <v>649</v>
      </c>
      <c r="J116" t="s">
        <v>429</v>
      </c>
      <c r="K116" t="s">
        <v>13</v>
      </c>
    </row>
    <row r="117" spans="1:12">
      <c r="A117" s="1">
        <v>46016</v>
      </c>
      <c r="B117" t="s">
        <v>428</v>
      </c>
      <c r="C117" t="s">
        <v>427</v>
      </c>
      <c r="D117">
        <v>9891376147</v>
      </c>
      <c r="E117" t="s">
        <v>426</v>
      </c>
      <c r="F117">
        <v>4094</v>
      </c>
      <c r="G117" t="s">
        <v>18</v>
      </c>
      <c r="H117" t="s">
        <v>37</v>
      </c>
      <c r="I117">
        <v>767</v>
      </c>
      <c r="J117" t="s">
        <v>113</v>
      </c>
      <c r="K117" t="s">
        <v>13</v>
      </c>
    </row>
    <row r="118" spans="1:12">
      <c r="A118" s="1">
        <v>46017</v>
      </c>
      <c r="B118" t="s">
        <v>430</v>
      </c>
      <c r="C118" t="s">
        <v>431</v>
      </c>
      <c r="D118">
        <v>8851572600</v>
      </c>
      <c r="F118">
        <v>22774</v>
      </c>
      <c r="G118" t="s">
        <v>18</v>
      </c>
      <c r="H118" t="s">
        <v>432</v>
      </c>
      <c r="I118">
        <v>450</v>
      </c>
      <c r="J118" t="s">
        <v>113</v>
      </c>
      <c r="K118" t="s">
        <v>13</v>
      </c>
    </row>
    <row r="119" spans="1:12">
      <c r="A119" s="1">
        <v>46017</v>
      </c>
      <c r="B119" t="s">
        <v>433</v>
      </c>
      <c r="C119" t="s">
        <v>111</v>
      </c>
      <c r="D119">
        <v>9212756556</v>
      </c>
      <c r="F119">
        <v>5408</v>
      </c>
      <c r="G119" t="s">
        <v>18</v>
      </c>
      <c r="H119" t="s">
        <v>37</v>
      </c>
      <c r="I119">
        <v>650</v>
      </c>
      <c r="J119" t="s">
        <v>126</v>
      </c>
      <c r="K119" t="s">
        <v>13</v>
      </c>
    </row>
    <row r="120" spans="1:12">
      <c r="A120" s="1">
        <v>46017</v>
      </c>
      <c r="B120" t="s">
        <v>434</v>
      </c>
      <c r="C120" t="s">
        <v>435</v>
      </c>
      <c r="D120">
        <v>9911277969</v>
      </c>
      <c r="F120">
        <v>13025</v>
      </c>
      <c r="G120" t="s">
        <v>13</v>
      </c>
      <c r="H120" t="s">
        <v>436</v>
      </c>
      <c r="I120">
        <v>1352</v>
      </c>
      <c r="J120" t="s">
        <v>113</v>
      </c>
      <c r="K120" t="s">
        <v>13</v>
      </c>
    </row>
    <row r="121" spans="1:12">
      <c r="A121" s="1">
        <v>46017</v>
      </c>
      <c r="B121" t="s">
        <v>437</v>
      </c>
      <c r="C121" t="s">
        <v>438</v>
      </c>
      <c r="D121">
        <v>9711016901</v>
      </c>
      <c r="F121">
        <v>20698</v>
      </c>
      <c r="G121" t="s">
        <v>13</v>
      </c>
      <c r="H121" t="s">
        <v>439</v>
      </c>
      <c r="I121">
        <v>2407</v>
      </c>
      <c r="J121" t="s">
        <v>113</v>
      </c>
      <c r="K121" t="s">
        <v>13</v>
      </c>
    </row>
    <row r="122" spans="1:12">
      <c r="A122" s="1">
        <v>46017</v>
      </c>
      <c r="B122" t="s">
        <v>335</v>
      </c>
      <c r="C122" t="s">
        <v>339</v>
      </c>
      <c r="D122">
        <v>8527517111</v>
      </c>
      <c r="F122">
        <v>19344</v>
      </c>
      <c r="G122" t="s">
        <v>18</v>
      </c>
      <c r="H122" t="s">
        <v>29</v>
      </c>
      <c r="I122">
        <v>1656</v>
      </c>
      <c r="J122" t="s">
        <v>113</v>
      </c>
      <c r="K122" t="s">
        <v>13</v>
      </c>
    </row>
    <row r="123" spans="1:12">
      <c r="A123" s="1">
        <v>46018</v>
      </c>
      <c r="B123" t="s">
        <v>440</v>
      </c>
      <c r="C123" t="s">
        <v>441</v>
      </c>
      <c r="D123">
        <v>8826018908</v>
      </c>
      <c r="E123" t="s">
        <v>442</v>
      </c>
      <c r="F123">
        <v>7911</v>
      </c>
      <c r="H123" t="s">
        <v>451</v>
      </c>
      <c r="I123">
        <v>9000</v>
      </c>
      <c r="J123" t="s">
        <v>113</v>
      </c>
      <c r="K123" t="s">
        <v>13</v>
      </c>
    </row>
    <row r="124" spans="1:12">
      <c r="A124" s="1">
        <v>46018</v>
      </c>
      <c r="B124" t="s">
        <v>443</v>
      </c>
      <c r="C124" t="s">
        <v>444</v>
      </c>
      <c r="D124">
        <v>8591721335</v>
      </c>
      <c r="F124">
        <v>8716</v>
      </c>
      <c r="G124" t="s">
        <v>18</v>
      </c>
      <c r="H124" t="s">
        <v>170</v>
      </c>
      <c r="I124">
        <v>1149</v>
      </c>
      <c r="J124" t="s">
        <v>113</v>
      </c>
      <c r="K124" t="s">
        <v>13</v>
      </c>
    </row>
    <row r="125" spans="1:12">
      <c r="A125" s="1">
        <v>46018</v>
      </c>
      <c r="B125" t="s">
        <v>445</v>
      </c>
      <c r="C125" t="s">
        <v>446</v>
      </c>
      <c r="D125">
        <v>8920312079</v>
      </c>
      <c r="F125">
        <v>11688</v>
      </c>
      <c r="G125" t="s">
        <v>18</v>
      </c>
      <c r="H125" t="s">
        <v>37</v>
      </c>
      <c r="I125">
        <v>649</v>
      </c>
      <c r="J125" t="s">
        <v>429</v>
      </c>
      <c r="K125" t="s">
        <v>13</v>
      </c>
    </row>
    <row r="126" spans="1:12">
      <c r="A126" s="1">
        <v>46018</v>
      </c>
      <c r="B126" t="s">
        <v>447</v>
      </c>
      <c r="C126" t="s">
        <v>448</v>
      </c>
      <c r="D126">
        <v>9953461147</v>
      </c>
      <c r="E126" t="s">
        <v>449</v>
      </c>
      <c r="F126">
        <v>8432</v>
      </c>
      <c r="G126" t="s">
        <v>18</v>
      </c>
      <c r="H126" t="s">
        <v>450</v>
      </c>
      <c r="I126">
        <v>2430</v>
      </c>
      <c r="J126" t="s">
        <v>32</v>
      </c>
      <c r="K126" t="s">
        <v>8</v>
      </c>
      <c r="L126" t="s">
        <v>18</v>
      </c>
    </row>
    <row r="127" spans="1:12">
      <c r="A127" s="1">
        <v>46018</v>
      </c>
      <c r="B127" t="s">
        <v>280</v>
      </c>
      <c r="C127" t="s">
        <v>281</v>
      </c>
      <c r="D127">
        <v>9971717972</v>
      </c>
      <c r="F127">
        <v>39978</v>
      </c>
      <c r="G127" t="s">
        <v>18</v>
      </c>
      <c r="H127" t="s">
        <v>37</v>
      </c>
      <c r="I127">
        <v>649</v>
      </c>
      <c r="J127" t="s">
        <v>113</v>
      </c>
      <c r="K127" t="s">
        <v>13</v>
      </c>
    </row>
    <row r="128" spans="1:12">
      <c r="A128" s="1">
        <v>46018</v>
      </c>
      <c r="B128" t="s">
        <v>453</v>
      </c>
      <c r="C128" t="s">
        <v>452</v>
      </c>
      <c r="D128">
        <v>8010052860</v>
      </c>
      <c r="F128">
        <v>52192</v>
      </c>
      <c r="G128" t="s">
        <v>8</v>
      </c>
      <c r="H128" t="s">
        <v>37</v>
      </c>
      <c r="I128">
        <v>649</v>
      </c>
      <c r="J128" t="s">
        <v>113</v>
      </c>
      <c r="K128" t="s">
        <v>13</v>
      </c>
    </row>
    <row r="129" spans="1:12">
      <c r="A129" s="1">
        <v>46018</v>
      </c>
      <c r="B129" t="s">
        <v>454</v>
      </c>
      <c r="C129" t="s">
        <v>455</v>
      </c>
      <c r="D129">
        <v>9873104249</v>
      </c>
      <c r="F129">
        <v>12676</v>
      </c>
      <c r="G129" t="s">
        <v>18</v>
      </c>
      <c r="H129" t="s">
        <v>456</v>
      </c>
      <c r="I129">
        <v>1260</v>
      </c>
      <c r="J129" t="s">
        <v>113</v>
      </c>
      <c r="K129" t="s">
        <v>13</v>
      </c>
    </row>
    <row r="130" spans="1:12">
      <c r="A130" s="1">
        <v>46019</v>
      </c>
      <c r="B130" t="s">
        <v>457</v>
      </c>
      <c r="C130" t="s">
        <v>459</v>
      </c>
      <c r="D130">
        <v>9717813802</v>
      </c>
      <c r="E130" t="s">
        <v>458</v>
      </c>
      <c r="F130">
        <v>11026</v>
      </c>
      <c r="G130" t="s">
        <v>18</v>
      </c>
      <c r="H130" t="s">
        <v>478</v>
      </c>
      <c r="I130">
        <f>649+1007+118+675</f>
        <v>2449</v>
      </c>
      <c r="J130" t="s">
        <v>113</v>
      </c>
      <c r="K130" t="s">
        <v>18</v>
      </c>
      <c r="L130" t="s">
        <v>18</v>
      </c>
    </row>
    <row r="131" spans="1:12">
      <c r="A131" s="1">
        <v>46019</v>
      </c>
      <c r="B131" t="s">
        <v>460</v>
      </c>
      <c r="C131" t="s">
        <v>462</v>
      </c>
      <c r="D131">
        <v>7827379162</v>
      </c>
      <c r="F131">
        <v>41139</v>
      </c>
      <c r="G131" t="s">
        <v>18</v>
      </c>
      <c r="H131" t="s">
        <v>461</v>
      </c>
      <c r="I131">
        <f>649+610</f>
        <v>1259</v>
      </c>
      <c r="J131" t="s">
        <v>113</v>
      </c>
      <c r="K131" t="s">
        <v>13</v>
      </c>
    </row>
    <row r="132" spans="1:12">
      <c r="A132" s="1">
        <v>46019</v>
      </c>
      <c r="B132" t="s">
        <v>463</v>
      </c>
      <c r="C132" t="s">
        <v>464</v>
      </c>
      <c r="D132">
        <v>9650447811</v>
      </c>
      <c r="F132">
        <v>9112</v>
      </c>
      <c r="G132" t="s">
        <v>8</v>
      </c>
      <c r="H132" t="s">
        <v>465</v>
      </c>
      <c r="I132">
        <f>649+118</f>
        <v>767</v>
      </c>
      <c r="J132" t="s">
        <v>113</v>
      </c>
      <c r="K132" t="s">
        <v>13</v>
      </c>
    </row>
    <row r="133" spans="1:12">
      <c r="A133" s="1">
        <v>46019</v>
      </c>
      <c r="B133" t="s">
        <v>466</v>
      </c>
      <c r="C133" t="s">
        <v>467</v>
      </c>
      <c r="D133">
        <v>9540159902</v>
      </c>
      <c r="F133">
        <v>14895</v>
      </c>
      <c r="G133" t="s">
        <v>18</v>
      </c>
      <c r="H133" t="s">
        <v>468</v>
      </c>
      <c r="I133">
        <f>649+1885+50+675</f>
        <v>3259</v>
      </c>
      <c r="J133" t="s">
        <v>113</v>
      </c>
      <c r="K133" t="s">
        <v>13</v>
      </c>
    </row>
    <row r="134" spans="1:12">
      <c r="A134" s="1">
        <v>46019</v>
      </c>
      <c r="B134" t="s">
        <v>469</v>
      </c>
      <c r="C134" t="s">
        <v>470</v>
      </c>
      <c r="D134">
        <v>8588851492</v>
      </c>
      <c r="F134">
        <v>57706</v>
      </c>
      <c r="G134" t="s">
        <v>18</v>
      </c>
      <c r="H134" t="s">
        <v>471</v>
      </c>
      <c r="I134">
        <f>649+500+55</f>
        <v>1204</v>
      </c>
      <c r="J134" t="s">
        <v>113</v>
      </c>
      <c r="K134" t="s">
        <v>13</v>
      </c>
    </row>
    <row r="135" spans="1:12">
      <c r="A135" s="1">
        <v>46019</v>
      </c>
      <c r="B135" s="10" t="s">
        <v>472</v>
      </c>
      <c r="C135" t="s">
        <v>473</v>
      </c>
      <c r="D135">
        <v>8755667704</v>
      </c>
      <c r="F135">
        <v>20632</v>
      </c>
      <c r="G135" t="s">
        <v>18</v>
      </c>
      <c r="H135" t="s">
        <v>477</v>
      </c>
      <c r="I135">
        <v>2600</v>
      </c>
      <c r="J135" t="s">
        <v>126</v>
      </c>
      <c r="K135" t="s">
        <v>13</v>
      </c>
    </row>
    <row r="136" spans="1:12">
      <c r="A136" s="1">
        <v>46019</v>
      </c>
      <c r="B136" t="s">
        <v>474</v>
      </c>
      <c r="C136" t="s">
        <v>475</v>
      </c>
      <c r="D136">
        <v>9310097380</v>
      </c>
      <c r="F136">
        <v>60154</v>
      </c>
      <c r="G136" t="s">
        <v>13</v>
      </c>
      <c r="H136" t="s">
        <v>476</v>
      </c>
      <c r="I136">
        <v>75</v>
      </c>
      <c r="J136" t="s">
        <v>113</v>
      </c>
      <c r="K136" t="s">
        <v>13</v>
      </c>
    </row>
    <row r="137" spans="1:12">
      <c r="A137" s="1">
        <v>46019</v>
      </c>
      <c r="B137" s="8" t="s">
        <v>480</v>
      </c>
      <c r="C137" s="8" t="s">
        <v>479</v>
      </c>
      <c r="D137">
        <v>9953758172</v>
      </c>
      <c r="F137">
        <v>24324</v>
      </c>
      <c r="G137" t="s">
        <v>18</v>
      </c>
      <c r="H137" t="s">
        <v>481</v>
      </c>
      <c r="I137">
        <f>1000+649+950</f>
        <v>2599</v>
      </c>
      <c r="J137" t="s">
        <v>113</v>
      </c>
      <c r="K137" t="s">
        <v>13</v>
      </c>
    </row>
    <row r="138" spans="1:12">
      <c r="A138" s="1">
        <v>46020</v>
      </c>
      <c r="B138" t="s">
        <v>483</v>
      </c>
      <c r="C138" s="8" t="s">
        <v>482</v>
      </c>
      <c r="D138" s="8">
        <v>8510017132</v>
      </c>
      <c r="F138">
        <v>8986</v>
      </c>
      <c r="G138" t="s">
        <v>18</v>
      </c>
      <c r="H138" t="s">
        <v>75</v>
      </c>
      <c r="I138">
        <v>4257</v>
      </c>
      <c r="J138" t="s">
        <v>113</v>
      </c>
      <c r="K138" t="s">
        <v>13</v>
      </c>
    </row>
    <row r="139" spans="1:12">
      <c r="A139" s="1">
        <v>46020</v>
      </c>
      <c r="B139" t="s">
        <v>484</v>
      </c>
      <c r="C139" t="s">
        <v>485</v>
      </c>
      <c r="D139">
        <v>9999664157</v>
      </c>
      <c r="F139">
        <v>12500</v>
      </c>
      <c r="G139" t="s">
        <v>18</v>
      </c>
      <c r="H139" t="s">
        <v>489</v>
      </c>
      <c r="I139">
        <v>3287</v>
      </c>
      <c r="J139" t="s">
        <v>229</v>
      </c>
      <c r="K139" t="s">
        <v>13</v>
      </c>
    </row>
    <row r="140" spans="1:12">
      <c r="A140" s="1">
        <v>46020</v>
      </c>
      <c r="B140" t="s">
        <v>486</v>
      </c>
      <c r="C140" t="s">
        <v>487</v>
      </c>
      <c r="D140">
        <v>9871272006</v>
      </c>
      <c r="F140">
        <v>18669</v>
      </c>
      <c r="G140" t="s">
        <v>13</v>
      </c>
      <c r="H140" t="s">
        <v>488</v>
      </c>
      <c r="I140">
        <v>500</v>
      </c>
      <c r="J140" t="s">
        <v>113</v>
      </c>
      <c r="K140" t="s">
        <v>13</v>
      </c>
    </row>
    <row r="141" spans="1:12">
      <c r="A141" s="1">
        <v>46022</v>
      </c>
      <c r="B141" t="s">
        <v>490</v>
      </c>
      <c r="C141" t="s">
        <v>491</v>
      </c>
      <c r="D141">
        <v>9871830902</v>
      </c>
      <c r="F141">
        <v>10158</v>
      </c>
      <c r="G141" t="s">
        <v>13</v>
      </c>
      <c r="H141" t="s">
        <v>492</v>
      </c>
      <c r="I141">
        <v>1600</v>
      </c>
      <c r="J141" t="s">
        <v>126</v>
      </c>
      <c r="K141" t="s">
        <v>13</v>
      </c>
    </row>
    <row r="142" spans="1:12">
      <c r="A142" s="1">
        <v>46022</v>
      </c>
      <c r="B142" t="s">
        <v>493</v>
      </c>
      <c r="C142" t="s">
        <v>500</v>
      </c>
      <c r="D142">
        <v>9958696205</v>
      </c>
      <c r="F142">
        <v>15220</v>
      </c>
      <c r="G142" t="s">
        <v>13</v>
      </c>
      <c r="H142" t="s">
        <v>495</v>
      </c>
      <c r="I142">
        <v>800</v>
      </c>
      <c r="J142" t="s">
        <v>126</v>
      </c>
      <c r="K142" t="s">
        <v>13</v>
      </c>
    </row>
    <row r="143" spans="1:12">
      <c r="A143" s="1">
        <v>46022</v>
      </c>
      <c r="B143" t="s">
        <v>494</v>
      </c>
      <c r="C143" t="s">
        <v>301</v>
      </c>
      <c r="D143">
        <v>8527705496</v>
      </c>
      <c r="F143">
        <v>32588</v>
      </c>
      <c r="G143" t="s">
        <v>13</v>
      </c>
      <c r="H143" t="s">
        <v>496</v>
      </c>
      <c r="I143">
        <v>5255</v>
      </c>
      <c r="J143" t="s">
        <v>113</v>
      </c>
      <c r="K143" t="s">
        <v>13</v>
      </c>
    </row>
    <row r="144" spans="1:12">
      <c r="A144" s="1">
        <v>46022</v>
      </c>
      <c r="B144" t="s">
        <v>497</v>
      </c>
      <c r="C144" t="s">
        <v>498</v>
      </c>
      <c r="D144">
        <v>9990707802</v>
      </c>
      <c r="F144">
        <v>89423</v>
      </c>
      <c r="G144" t="s">
        <v>13</v>
      </c>
      <c r="H144" t="s">
        <v>499</v>
      </c>
      <c r="I144">
        <v>2407</v>
      </c>
      <c r="J144" t="s">
        <v>181</v>
      </c>
      <c r="K144" t="s">
        <v>13</v>
      </c>
    </row>
  </sheetData>
  <autoFilter ref="A2:M144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8"/>
  <sheetViews>
    <sheetView topLeftCell="A2" workbookViewId="0">
      <selection activeCell="C2" sqref="C2"/>
    </sheetView>
  </sheetViews>
  <sheetFormatPr defaultRowHeight="15"/>
  <cols>
    <col min="1" max="1" width="10.42578125" bestFit="1" customWidth="1"/>
    <col min="2" max="2" width="16.140625" customWidth="1"/>
    <col min="3" max="3" width="27" customWidth="1"/>
    <col min="4" max="4" width="11" bestFit="1" customWidth="1"/>
    <col min="5" max="5" width="20.28515625" bestFit="1" customWidth="1"/>
    <col min="6" max="6" width="11.7109375" customWidth="1"/>
    <col min="7" max="7" width="8.85546875" bestFit="1" customWidth="1"/>
    <col min="8" max="8" width="68.85546875" customWidth="1"/>
    <col min="9" max="9" width="12.140625" customWidth="1"/>
    <col min="10" max="10" width="18.5703125" bestFit="1" customWidth="1"/>
    <col min="11" max="11" width="16.5703125" bestFit="1" customWidth="1"/>
    <col min="12" max="12" width="15" bestFit="1" customWidth="1"/>
    <col min="13" max="13" width="19.5703125" bestFit="1" customWidth="1"/>
  </cols>
  <sheetData>
    <row r="2" spans="1:14">
      <c r="A2" t="s">
        <v>24</v>
      </c>
      <c r="B2" t="s">
        <v>0</v>
      </c>
      <c r="C2" t="s">
        <v>1</v>
      </c>
      <c r="E2" t="s">
        <v>3</v>
      </c>
      <c r="F2" t="s">
        <v>112</v>
      </c>
      <c r="G2" t="s">
        <v>5</v>
      </c>
      <c r="H2" t="s">
        <v>4</v>
      </c>
      <c r="I2" t="s">
        <v>6</v>
      </c>
      <c r="J2" t="s">
        <v>10</v>
      </c>
      <c r="K2" t="s">
        <v>12</v>
      </c>
      <c r="L2" t="s">
        <v>14</v>
      </c>
    </row>
    <row r="3" spans="1:14">
      <c r="A3" s="1">
        <v>46023</v>
      </c>
      <c r="B3" t="s">
        <v>501</v>
      </c>
      <c r="C3" t="s">
        <v>502</v>
      </c>
      <c r="D3">
        <v>9711177703</v>
      </c>
      <c r="F3">
        <v>80000</v>
      </c>
      <c r="G3" t="s">
        <v>18</v>
      </c>
      <c r="H3" t="s">
        <v>503</v>
      </c>
      <c r="I3">
        <v>885</v>
      </c>
      <c r="J3" t="s">
        <v>113</v>
      </c>
      <c r="K3" t="s">
        <v>13</v>
      </c>
    </row>
    <row r="4" spans="1:14">
      <c r="A4" s="1">
        <v>46024</v>
      </c>
      <c r="B4" t="s">
        <v>504</v>
      </c>
      <c r="C4" t="s">
        <v>506</v>
      </c>
      <c r="D4">
        <v>8800302680</v>
      </c>
      <c r="F4">
        <v>43063</v>
      </c>
      <c r="G4" t="s">
        <v>18</v>
      </c>
      <c r="H4" t="s">
        <v>508</v>
      </c>
      <c r="I4">
        <v>5913</v>
      </c>
      <c r="J4" t="s">
        <v>113</v>
      </c>
      <c r="K4" t="s">
        <v>13</v>
      </c>
    </row>
    <row r="5" spans="1:14">
      <c r="A5" s="1">
        <v>46024</v>
      </c>
      <c r="B5" t="s">
        <v>505</v>
      </c>
      <c r="C5" t="s">
        <v>507</v>
      </c>
      <c r="D5">
        <v>9718837342</v>
      </c>
      <c r="F5">
        <v>86764</v>
      </c>
      <c r="H5" t="s">
        <v>509</v>
      </c>
      <c r="I5">
        <v>1800</v>
      </c>
      <c r="J5" t="s">
        <v>113</v>
      </c>
      <c r="K5" t="s">
        <v>13</v>
      </c>
    </row>
    <row r="6" spans="1:14">
      <c r="A6" s="1">
        <v>46024</v>
      </c>
      <c r="B6" t="s">
        <v>510</v>
      </c>
      <c r="C6" t="s">
        <v>511</v>
      </c>
      <c r="D6">
        <v>8076985913</v>
      </c>
      <c r="F6" t="s">
        <v>512</v>
      </c>
      <c r="H6" t="s">
        <v>513</v>
      </c>
      <c r="I6">
        <v>2500</v>
      </c>
      <c r="J6" t="s">
        <v>113</v>
      </c>
      <c r="K6" t="s">
        <v>13</v>
      </c>
    </row>
    <row r="7" spans="1:14">
      <c r="A7" s="1">
        <v>46025</v>
      </c>
      <c r="B7" t="s">
        <v>514</v>
      </c>
      <c r="C7" t="s">
        <v>516</v>
      </c>
      <c r="D7">
        <v>9891138851</v>
      </c>
      <c r="F7">
        <v>48000</v>
      </c>
      <c r="G7" t="s">
        <v>18</v>
      </c>
      <c r="H7" t="s">
        <v>515</v>
      </c>
      <c r="I7">
        <f>6000+400</f>
        <v>6400</v>
      </c>
      <c r="J7" t="s">
        <v>113</v>
      </c>
      <c r="K7" t="s">
        <v>13</v>
      </c>
    </row>
    <row r="8" spans="1:14">
      <c r="A8" s="1">
        <v>46025</v>
      </c>
      <c r="B8" t="s">
        <v>64</v>
      </c>
      <c r="C8" t="s">
        <v>517</v>
      </c>
      <c r="D8">
        <v>7404329866</v>
      </c>
      <c r="F8">
        <v>23900</v>
      </c>
      <c r="G8" t="s">
        <v>18</v>
      </c>
      <c r="H8" t="s">
        <v>647</v>
      </c>
      <c r="I8">
        <v>649</v>
      </c>
      <c r="J8" t="s">
        <v>113</v>
      </c>
      <c r="K8" t="s">
        <v>13</v>
      </c>
    </row>
    <row r="9" spans="1:14">
      <c r="A9" s="1">
        <v>46025</v>
      </c>
      <c r="B9" t="s">
        <v>519</v>
      </c>
      <c r="C9" t="s">
        <v>521</v>
      </c>
      <c r="D9">
        <v>9810946887</v>
      </c>
      <c r="F9">
        <v>47575</v>
      </c>
      <c r="G9" t="s">
        <v>18</v>
      </c>
      <c r="H9" t="s">
        <v>520</v>
      </c>
      <c r="I9">
        <v>620</v>
      </c>
      <c r="J9" t="s">
        <v>126</v>
      </c>
      <c r="K9" t="s">
        <v>13</v>
      </c>
    </row>
    <row r="10" spans="1:14">
      <c r="A10" s="1">
        <v>46026</v>
      </c>
      <c r="B10" t="s">
        <v>285</v>
      </c>
      <c r="C10" t="s">
        <v>286</v>
      </c>
      <c r="D10">
        <v>9811347882</v>
      </c>
      <c r="F10">
        <v>62000</v>
      </c>
      <c r="G10" t="s">
        <v>13</v>
      </c>
      <c r="H10" t="s">
        <v>522</v>
      </c>
      <c r="I10">
        <f>1600+1250+950+100</f>
        <v>3900</v>
      </c>
      <c r="J10" t="s">
        <v>113</v>
      </c>
      <c r="K10" t="s">
        <v>18</v>
      </c>
      <c r="L10" t="s">
        <v>18</v>
      </c>
      <c r="M10" t="s">
        <v>533</v>
      </c>
      <c r="N10" t="s">
        <v>648</v>
      </c>
    </row>
    <row r="11" spans="1:14">
      <c r="A11" s="1">
        <v>46026</v>
      </c>
      <c r="B11" t="s">
        <v>524</v>
      </c>
      <c r="C11" t="s">
        <v>523</v>
      </c>
      <c r="D11">
        <v>9873547480</v>
      </c>
      <c r="F11">
        <v>17068</v>
      </c>
      <c r="G11" t="s">
        <v>18</v>
      </c>
      <c r="H11" t="s">
        <v>525</v>
      </c>
      <c r="I11">
        <v>649</v>
      </c>
      <c r="J11" t="s">
        <v>113</v>
      </c>
      <c r="K11" t="s">
        <v>13</v>
      </c>
    </row>
    <row r="12" spans="1:14">
      <c r="A12" s="1">
        <v>46026</v>
      </c>
      <c r="B12" t="s">
        <v>527</v>
      </c>
      <c r="C12" s="8" t="s">
        <v>526</v>
      </c>
      <c r="D12" s="8">
        <v>9958447886</v>
      </c>
      <c r="F12">
        <v>13156</v>
      </c>
      <c r="G12" t="s">
        <v>18</v>
      </c>
      <c r="H12" t="s">
        <v>528</v>
      </c>
      <c r="I12">
        <f>649+1007+675+550</f>
        <v>2881</v>
      </c>
      <c r="J12" t="s">
        <v>113</v>
      </c>
      <c r="K12" t="s">
        <v>18</v>
      </c>
      <c r="L12" t="s">
        <v>18</v>
      </c>
    </row>
    <row r="13" spans="1:14" s="14" customFormat="1">
      <c r="A13" s="13">
        <v>46026</v>
      </c>
      <c r="B13" s="14" t="s">
        <v>529</v>
      </c>
      <c r="C13" s="14" t="s">
        <v>531</v>
      </c>
      <c r="D13" s="14">
        <v>9250822828</v>
      </c>
      <c r="F13" s="14">
        <v>21598</v>
      </c>
      <c r="G13" s="14" t="s">
        <v>13</v>
      </c>
      <c r="H13" s="14" t="s">
        <v>530</v>
      </c>
      <c r="I13" s="14">
        <f>2600+200+100+445+625+775+50+50+625</f>
        <v>5470</v>
      </c>
      <c r="J13" s="14" t="s">
        <v>113</v>
      </c>
      <c r="K13" s="14" t="s">
        <v>13</v>
      </c>
      <c r="M13" s="14" t="s">
        <v>532</v>
      </c>
    </row>
    <row r="14" spans="1:14">
      <c r="A14" s="1">
        <v>46027</v>
      </c>
      <c r="B14" t="s">
        <v>535</v>
      </c>
      <c r="C14" t="s">
        <v>534</v>
      </c>
      <c r="D14">
        <v>8383993727</v>
      </c>
      <c r="F14">
        <v>12910</v>
      </c>
      <c r="G14" t="s">
        <v>18</v>
      </c>
      <c r="H14" t="s">
        <v>536</v>
      </c>
      <c r="I14">
        <f>1007+649+1885+675+55</f>
        <v>4271</v>
      </c>
      <c r="J14" t="s">
        <v>113</v>
      </c>
      <c r="K14" t="s">
        <v>18</v>
      </c>
      <c r="L14" t="s">
        <v>18</v>
      </c>
    </row>
    <row r="15" spans="1:14">
      <c r="A15" s="1">
        <v>46029</v>
      </c>
      <c r="B15" t="s">
        <v>537</v>
      </c>
      <c r="C15" t="s">
        <v>539</v>
      </c>
      <c r="D15">
        <v>9871450303</v>
      </c>
      <c r="F15">
        <v>162000</v>
      </c>
      <c r="G15" t="s">
        <v>18</v>
      </c>
      <c r="H15" t="s">
        <v>538</v>
      </c>
      <c r="I15">
        <v>5800</v>
      </c>
      <c r="J15" t="s">
        <v>113</v>
      </c>
      <c r="K15" t="s">
        <v>13</v>
      </c>
    </row>
    <row r="16" spans="1:14">
      <c r="A16" s="1">
        <v>46029</v>
      </c>
      <c r="B16" t="s">
        <v>540</v>
      </c>
      <c r="C16" t="s">
        <v>541</v>
      </c>
      <c r="D16">
        <v>8869995891</v>
      </c>
      <c r="F16">
        <v>17565</v>
      </c>
      <c r="G16" t="s">
        <v>18</v>
      </c>
      <c r="H16" t="s">
        <v>542</v>
      </c>
      <c r="I16">
        <v>1000</v>
      </c>
      <c r="J16" t="s">
        <v>113</v>
      </c>
      <c r="K16" t="s">
        <v>13</v>
      </c>
    </row>
    <row r="17" spans="1:13">
      <c r="A17" s="1">
        <v>46029</v>
      </c>
      <c r="B17" t="s">
        <v>543</v>
      </c>
      <c r="C17" t="s">
        <v>544</v>
      </c>
      <c r="D17">
        <v>9212633276</v>
      </c>
      <c r="F17">
        <v>49003</v>
      </c>
      <c r="G17" t="s">
        <v>18</v>
      </c>
      <c r="H17" t="s">
        <v>545</v>
      </c>
      <c r="I17">
        <v>4257</v>
      </c>
      <c r="J17" t="s">
        <v>113</v>
      </c>
      <c r="K17" t="s">
        <v>13</v>
      </c>
    </row>
    <row r="18" spans="1:13">
      <c r="A18" s="1">
        <v>46029</v>
      </c>
      <c r="B18" t="s">
        <v>546</v>
      </c>
      <c r="C18" t="s">
        <v>547</v>
      </c>
      <c r="D18">
        <v>9871066952</v>
      </c>
      <c r="F18">
        <v>53598</v>
      </c>
      <c r="G18" t="s">
        <v>18</v>
      </c>
      <c r="H18" t="s">
        <v>548</v>
      </c>
      <c r="I18">
        <v>1460</v>
      </c>
      <c r="J18" t="s">
        <v>126</v>
      </c>
      <c r="K18" t="s">
        <v>13</v>
      </c>
    </row>
    <row r="19" spans="1:13">
      <c r="A19" s="1">
        <v>46030</v>
      </c>
      <c r="B19" t="s">
        <v>550</v>
      </c>
      <c r="C19" t="s">
        <v>549</v>
      </c>
      <c r="D19">
        <v>8750003819</v>
      </c>
      <c r="F19">
        <v>28929</v>
      </c>
      <c r="G19" t="s">
        <v>18</v>
      </c>
      <c r="H19" t="s">
        <v>37</v>
      </c>
      <c r="I19">
        <v>649</v>
      </c>
      <c r="J19" t="s">
        <v>113</v>
      </c>
      <c r="K19" t="s">
        <v>13</v>
      </c>
    </row>
    <row r="20" spans="1:13">
      <c r="A20" s="1">
        <v>46030</v>
      </c>
      <c r="B20" t="s">
        <v>108</v>
      </c>
      <c r="C20" t="s">
        <v>111</v>
      </c>
      <c r="D20">
        <v>8448133685</v>
      </c>
      <c r="F20">
        <v>5040</v>
      </c>
      <c r="G20" t="s">
        <v>13</v>
      </c>
      <c r="H20" t="s">
        <v>344</v>
      </c>
      <c r="I20">
        <v>1250</v>
      </c>
      <c r="J20" t="s">
        <v>113</v>
      </c>
      <c r="K20" t="s">
        <v>18</v>
      </c>
      <c r="L20" t="s">
        <v>18</v>
      </c>
    </row>
    <row r="21" spans="1:13">
      <c r="A21" s="1">
        <v>46031</v>
      </c>
      <c r="B21" t="s">
        <v>551</v>
      </c>
      <c r="C21" t="s">
        <v>552</v>
      </c>
      <c r="D21">
        <v>9971487030</v>
      </c>
      <c r="F21">
        <v>22243</v>
      </c>
      <c r="G21" t="s">
        <v>18</v>
      </c>
      <c r="H21" t="s">
        <v>346</v>
      </c>
      <c r="I21">
        <v>2534</v>
      </c>
      <c r="J21" t="s">
        <v>113</v>
      </c>
      <c r="K21" t="s">
        <v>13</v>
      </c>
    </row>
    <row r="22" spans="1:13">
      <c r="A22" s="1">
        <v>46032</v>
      </c>
      <c r="B22" t="s">
        <v>553</v>
      </c>
      <c r="C22" t="s">
        <v>360</v>
      </c>
      <c r="D22">
        <v>9899568336</v>
      </c>
      <c r="F22">
        <v>69000</v>
      </c>
      <c r="G22" t="s">
        <v>13</v>
      </c>
      <c r="H22" t="s">
        <v>554</v>
      </c>
      <c r="I22">
        <v>1600</v>
      </c>
      <c r="J22" t="s">
        <v>113</v>
      </c>
      <c r="K22" t="s">
        <v>13</v>
      </c>
    </row>
    <row r="23" spans="1:13">
      <c r="A23" s="1">
        <v>46032</v>
      </c>
      <c r="B23" t="s">
        <v>555</v>
      </c>
      <c r="C23" t="s">
        <v>556</v>
      </c>
      <c r="D23">
        <v>9650400989</v>
      </c>
      <c r="F23">
        <v>10989</v>
      </c>
      <c r="G23" t="s">
        <v>18</v>
      </c>
      <c r="H23" t="s">
        <v>557</v>
      </c>
      <c r="I23">
        <v>1135</v>
      </c>
      <c r="J23" t="s">
        <v>113</v>
      </c>
      <c r="K23" t="s">
        <v>13</v>
      </c>
    </row>
    <row r="24" spans="1:13">
      <c r="A24" s="1">
        <v>46032</v>
      </c>
      <c r="B24" t="s">
        <v>315</v>
      </c>
      <c r="C24" t="s">
        <v>314</v>
      </c>
      <c r="D24">
        <v>9461898440</v>
      </c>
      <c r="F24">
        <v>12523</v>
      </c>
      <c r="G24" t="s">
        <v>18</v>
      </c>
      <c r="H24" t="s">
        <v>558</v>
      </c>
      <c r="I24">
        <v>15983</v>
      </c>
      <c r="J24" t="s">
        <v>113</v>
      </c>
      <c r="K24" t="s">
        <v>13</v>
      </c>
    </row>
    <row r="25" spans="1:13">
      <c r="A25" s="1">
        <v>46032</v>
      </c>
      <c r="B25" t="s">
        <v>559</v>
      </c>
      <c r="C25" t="s">
        <v>561</v>
      </c>
      <c r="D25">
        <v>9711169633</v>
      </c>
      <c r="F25">
        <v>20266</v>
      </c>
      <c r="G25" t="s">
        <v>18</v>
      </c>
      <c r="H25" t="s">
        <v>560</v>
      </c>
      <c r="I25">
        <f>1007+649+775</f>
        <v>2431</v>
      </c>
      <c r="J25" t="s">
        <v>113</v>
      </c>
      <c r="K25" t="s">
        <v>18</v>
      </c>
      <c r="L25" t="s">
        <v>18</v>
      </c>
    </row>
    <row r="26" spans="1:13">
      <c r="A26" s="1">
        <v>46032</v>
      </c>
      <c r="B26" t="s">
        <v>562</v>
      </c>
      <c r="C26" t="s">
        <v>564</v>
      </c>
      <c r="D26">
        <v>9311666334</v>
      </c>
      <c r="F26">
        <v>19085</v>
      </c>
      <c r="G26" t="s">
        <v>18</v>
      </c>
      <c r="H26" t="s">
        <v>563</v>
      </c>
      <c r="I26">
        <v>1885</v>
      </c>
      <c r="J26" t="s">
        <v>113</v>
      </c>
      <c r="K26" t="s">
        <v>13</v>
      </c>
    </row>
    <row r="27" spans="1:13">
      <c r="A27" s="1">
        <v>46032</v>
      </c>
      <c r="B27" t="s">
        <v>289</v>
      </c>
      <c r="C27" t="s">
        <v>566</v>
      </c>
      <c r="D27">
        <v>9910350313</v>
      </c>
      <c r="F27">
        <v>16550</v>
      </c>
      <c r="G27" t="s">
        <v>18</v>
      </c>
      <c r="H27" t="s">
        <v>565</v>
      </c>
      <c r="I27">
        <v>4257</v>
      </c>
      <c r="J27" t="s">
        <v>113</v>
      </c>
      <c r="K27" t="s">
        <v>13</v>
      </c>
    </row>
    <row r="28" spans="1:13">
      <c r="A28" s="1">
        <v>46033</v>
      </c>
      <c r="B28" t="s">
        <v>404</v>
      </c>
      <c r="C28" t="s">
        <v>403</v>
      </c>
      <c r="D28">
        <v>7210610051</v>
      </c>
      <c r="F28">
        <v>14589</v>
      </c>
      <c r="G28" t="s">
        <v>18</v>
      </c>
      <c r="H28" t="s">
        <v>567</v>
      </c>
      <c r="I28">
        <f>649+675</f>
        <v>1324</v>
      </c>
      <c r="J28" t="s">
        <v>113</v>
      </c>
      <c r="K28" t="s">
        <v>13</v>
      </c>
      <c r="M28" t="s">
        <v>568</v>
      </c>
    </row>
    <row r="29" spans="1:13">
      <c r="A29" s="1">
        <v>46033</v>
      </c>
      <c r="B29" t="s">
        <v>569</v>
      </c>
      <c r="C29" t="s">
        <v>357</v>
      </c>
      <c r="D29">
        <v>9868637414</v>
      </c>
      <c r="F29">
        <v>23902</v>
      </c>
      <c r="G29" t="s">
        <v>18</v>
      </c>
      <c r="H29" t="s">
        <v>570</v>
      </c>
      <c r="I29">
        <v>2047</v>
      </c>
      <c r="J29" t="s">
        <v>126</v>
      </c>
      <c r="K29" t="s">
        <v>13</v>
      </c>
    </row>
    <row r="30" spans="1:13">
      <c r="A30" s="1">
        <v>46033</v>
      </c>
      <c r="B30" t="s">
        <v>571</v>
      </c>
      <c r="C30" t="s">
        <v>572</v>
      </c>
      <c r="D30">
        <v>9971760761</v>
      </c>
      <c r="F30">
        <v>37722</v>
      </c>
      <c r="G30" t="s">
        <v>13</v>
      </c>
      <c r="H30" t="s">
        <v>573</v>
      </c>
      <c r="I30">
        <f>625+1000+2500</f>
        <v>4125</v>
      </c>
      <c r="J30" t="s">
        <v>113</v>
      </c>
      <c r="K30" t="s">
        <v>13</v>
      </c>
    </row>
    <row r="31" spans="1:13">
      <c r="A31" s="1">
        <v>46033</v>
      </c>
      <c r="B31" t="s">
        <v>574</v>
      </c>
      <c r="C31" t="s">
        <v>576</v>
      </c>
      <c r="D31">
        <v>9015413614</v>
      </c>
      <c r="F31">
        <v>25488</v>
      </c>
      <c r="G31" t="s">
        <v>18</v>
      </c>
      <c r="H31" t="s">
        <v>575</v>
      </c>
      <c r="I31">
        <f>649+500</f>
        <v>1149</v>
      </c>
      <c r="J31" t="s">
        <v>113</v>
      </c>
      <c r="K31" t="s">
        <v>13</v>
      </c>
    </row>
    <row r="32" spans="1:13">
      <c r="A32" s="1">
        <v>46033</v>
      </c>
      <c r="B32" t="s">
        <v>577</v>
      </c>
      <c r="C32" t="s">
        <v>586</v>
      </c>
      <c r="D32" t="s">
        <v>578</v>
      </c>
      <c r="F32">
        <v>24115</v>
      </c>
      <c r="G32" t="s">
        <v>18</v>
      </c>
      <c r="H32" t="s">
        <v>37</v>
      </c>
      <c r="I32">
        <v>649</v>
      </c>
      <c r="J32" t="s">
        <v>113</v>
      </c>
      <c r="K32" t="s">
        <v>13</v>
      </c>
      <c r="M32" t="s">
        <v>580</v>
      </c>
    </row>
    <row r="33" spans="1:13">
      <c r="A33" s="1">
        <v>46033</v>
      </c>
      <c r="B33" t="s">
        <v>179</v>
      </c>
      <c r="C33" t="s">
        <v>74</v>
      </c>
      <c r="D33">
        <v>9540684357</v>
      </c>
      <c r="F33">
        <v>37100</v>
      </c>
      <c r="G33" t="s">
        <v>13</v>
      </c>
      <c r="H33" t="s">
        <v>579</v>
      </c>
      <c r="I33">
        <f>625+70+50</f>
        <v>745</v>
      </c>
      <c r="J33" t="s">
        <v>113</v>
      </c>
      <c r="K33" t="s">
        <v>13</v>
      </c>
    </row>
    <row r="34" spans="1:13">
      <c r="A34" s="1">
        <v>46034</v>
      </c>
      <c r="B34" t="s">
        <v>582</v>
      </c>
      <c r="C34" t="s">
        <v>581</v>
      </c>
      <c r="D34">
        <v>9555947796</v>
      </c>
      <c r="F34" s="12">
        <v>13801</v>
      </c>
      <c r="G34" t="s">
        <v>18</v>
      </c>
      <c r="H34" t="s">
        <v>567</v>
      </c>
      <c r="I34">
        <v>1150</v>
      </c>
      <c r="J34" t="s">
        <v>126</v>
      </c>
      <c r="K34" t="s">
        <v>13</v>
      </c>
    </row>
    <row r="35" spans="1:13">
      <c r="A35" s="1">
        <v>46034</v>
      </c>
      <c r="B35" t="s">
        <v>430</v>
      </c>
      <c r="C35" t="s">
        <v>431</v>
      </c>
      <c r="D35">
        <v>8851572600</v>
      </c>
      <c r="F35" s="12">
        <v>24710</v>
      </c>
      <c r="G35" t="s">
        <v>18</v>
      </c>
      <c r="H35" t="s">
        <v>37</v>
      </c>
      <c r="I35">
        <v>649</v>
      </c>
      <c r="J35" t="s">
        <v>113</v>
      </c>
      <c r="K35" t="s">
        <v>13</v>
      </c>
    </row>
    <row r="36" spans="1:13">
      <c r="A36" s="1">
        <v>46036</v>
      </c>
      <c r="B36" t="s">
        <v>583</v>
      </c>
      <c r="C36" t="s">
        <v>584</v>
      </c>
      <c r="D36">
        <v>8376986030</v>
      </c>
      <c r="F36">
        <v>58143</v>
      </c>
      <c r="G36" t="s">
        <v>18</v>
      </c>
      <c r="H36" t="s">
        <v>585</v>
      </c>
      <c r="I36">
        <f>1352+3000+400</f>
        <v>4752</v>
      </c>
      <c r="J36" t="s">
        <v>148</v>
      </c>
      <c r="K36" t="s">
        <v>13</v>
      </c>
    </row>
    <row r="37" spans="1:13">
      <c r="A37" s="1">
        <v>46037</v>
      </c>
      <c r="B37" t="s">
        <v>587</v>
      </c>
      <c r="C37" t="s">
        <v>588</v>
      </c>
      <c r="D37">
        <v>7503333133</v>
      </c>
      <c r="F37" t="s">
        <v>589</v>
      </c>
      <c r="G37" s="10"/>
      <c r="H37" t="s">
        <v>590</v>
      </c>
      <c r="I37">
        <v>7462</v>
      </c>
      <c r="J37" t="s">
        <v>591</v>
      </c>
      <c r="K37" t="s">
        <v>13</v>
      </c>
    </row>
    <row r="38" spans="1:13">
      <c r="A38" s="1">
        <v>46037</v>
      </c>
      <c r="B38" t="s">
        <v>592</v>
      </c>
      <c r="C38" t="s">
        <v>593</v>
      </c>
      <c r="D38">
        <v>9716710816</v>
      </c>
      <c r="F38">
        <v>41754</v>
      </c>
      <c r="H38" t="s">
        <v>594</v>
      </c>
      <c r="I38">
        <v>400</v>
      </c>
      <c r="J38" t="s">
        <v>113</v>
      </c>
      <c r="K38" t="s">
        <v>13</v>
      </c>
    </row>
    <row r="39" spans="1:13">
      <c r="A39" s="1">
        <v>46038</v>
      </c>
      <c r="B39" t="s">
        <v>595</v>
      </c>
      <c r="C39" t="s">
        <v>599</v>
      </c>
      <c r="D39" t="s">
        <v>598</v>
      </c>
      <c r="F39">
        <v>25432</v>
      </c>
      <c r="H39" t="s">
        <v>597</v>
      </c>
      <c r="I39">
        <f>1250+649</f>
        <v>1899</v>
      </c>
      <c r="J39" t="s">
        <v>113</v>
      </c>
      <c r="K39" t="s">
        <v>18</v>
      </c>
      <c r="L39" t="s">
        <v>18</v>
      </c>
      <c r="M39" t="s">
        <v>596</v>
      </c>
    </row>
    <row r="40" spans="1:13">
      <c r="A40" s="1">
        <v>46038</v>
      </c>
      <c r="B40" t="s">
        <v>587</v>
      </c>
      <c r="C40" t="s">
        <v>357</v>
      </c>
      <c r="D40">
        <v>9911335510</v>
      </c>
      <c r="F40">
        <v>101737</v>
      </c>
      <c r="H40" t="s">
        <v>600</v>
      </c>
      <c r="I40">
        <f>2667+500+400+500+463</f>
        <v>4530</v>
      </c>
      <c r="J40" t="s">
        <v>113</v>
      </c>
      <c r="K40" t="s">
        <v>13</v>
      </c>
    </row>
    <row r="41" spans="1:13">
      <c r="A41" s="1">
        <v>46038</v>
      </c>
      <c r="B41" t="s">
        <v>601</v>
      </c>
      <c r="C41" t="s">
        <v>602</v>
      </c>
      <c r="D41">
        <v>9355611012</v>
      </c>
      <c r="F41">
        <v>11545</v>
      </c>
      <c r="H41" t="s">
        <v>603</v>
      </c>
      <c r="I41">
        <v>4782</v>
      </c>
      <c r="J41" t="s">
        <v>113</v>
      </c>
      <c r="K41" t="s">
        <v>13</v>
      </c>
    </row>
    <row r="42" spans="1:13">
      <c r="A42" s="1">
        <v>46038</v>
      </c>
      <c r="B42" t="s">
        <v>604</v>
      </c>
      <c r="C42" t="s">
        <v>605</v>
      </c>
      <c r="D42">
        <v>7011693884</v>
      </c>
      <c r="F42">
        <v>3103</v>
      </c>
      <c r="H42" t="s">
        <v>606</v>
      </c>
      <c r="I42">
        <v>1000</v>
      </c>
      <c r="J42" t="s">
        <v>113</v>
      </c>
      <c r="K42" t="s">
        <v>13</v>
      </c>
    </row>
    <row r="43" spans="1:13">
      <c r="A43" s="1">
        <v>46038</v>
      </c>
      <c r="B43" t="s">
        <v>607</v>
      </c>
      <c r="C43" t="s">
        <v>608</v>
      </c>
      <c r="D43">
        <v>9205774296</v>
      </c>
      <c r="F43">
        <v>62962</v>
      </c>
      <c r="H43" t="s">
        <v>609</v>
      </c>
      <c r="I43">
        <v>14500</v>
      </c>
      <c r="J43" t="s">
        <v>113</v>
      </c>
      <c r="K43" t="s">
        <v>13</v>
      </c>
    </row>
    <row r="44" spans="1:13">
      <c r="A44" s="1">
        <v>46039</v>
      </c>
      <c r="B44" t="s">
        <v>343</v>
      </c>
      <c r="C44" t="s">
        <v>611</v>
      </c>
      <c r="D44">
        <v>8851979833</v>
      </c>
      <c r="F44">
        <v>70395</v>
      </c>
      <c r="H44" t="s">
        <v>612</v>
      </c>
      <c r="I44">
        <v>1681</v>
      </c>
      <c r="J44" t="s">
        <v>181</v>
      </c>
      <c r="K44" t="s">
        <v>18</v>
      </c>
      <c r="L44" t="s">
        <v>18</v>
      </c>
    </row>
    <row r="45" spans="1:13">
      <c r="A45" s="1">
        <v>46039</v>
      </c>
      <c r="B45" t="s">
        <v>610</v>
      </c>
      <c r="C45" t="s">
        <v>613</v>
      </c>
      <c r="D45">
        <v>7011162754</v>
      </c>
      <c r="F45">
        <v>40040</v>
      </c>
      <c r="H45" t="s">
        <v>614</v>
      </c>
      <c r="I45">
        <v>625</v>
      </c>
      <c r="J45" t="s">
        <v>181</v>
      </c>
      <c r="K45" t="s">
        <v>13</v>
      </c>
    </row>
    <row r="46" spans="1:13">
      <c r="A46" s="1">
        <v>46039</v>
      </c>
      <c r="B46" t="s">
        <v>615</v>
      </c>
      <c r="C46" t="s">
        <v>616</v>
      </c>
      <c r="D46">
        <v>9810339516</v>
      </c>
      <c r="F46">
        <v>30000</v>
      </c>
      <c r="H46" t="s">
        <v>617</v>
      </c>
      <c r="I46">
        <v>1000</v>
      </c>
      <c r="J46" t="s">
        <v>126</v>
      </c>
      <c r="K46" t="s">
        <v>13</v>
      </c>
    </row>
    <row r="47" spans="1:13">
      <c r="A47" s="1">
        <v>46039</v>
      </c>
      <c r="B47" t="s">
        <v>73</v>
      </c>
      <c r="C47" t="s">
        <v>292</v>
      </c>
      <c r="D47">
        <v>7982224652</v>
      </c>
      <c r="F47">
        <v>39761</v>
      </c>
      <c r="H47" t="s">
        <v>618</v>
      </c>
      <c r="I47">
        <v>2725</v>
      </c>
      <c r="J47" t="s">
        <v>113</v>
      </c>
      <c r="K47" t="s">
        <v>13</v>
      </c>
    </row>
    <row r="48" spans="1:13">
      <c r="A48" s="1">
        <v>46039</v>
      </c>
      <c r="B48" t="s">
        <v>619</v>
      </c>
      <c r="C48" t="s">
        <v>140</v>
      </c>
      <c r="D48">
        <v>9716188360</v>
      </c>
      <c r="F48">
        <v>33275</v>
      </c>
      <c r="H48" t="s">
        <v>620</v>
      </c>
      <c r="I48">
        <v>875</v>
      </c>
      <c r="J48" t="s">
        <v>113</v>
      </c>
      <c r="K48" t="s">
        <v>13</v>
      </c>
    </row>
    <row r="49" spans="1:12">
      <c r="A49" s="1">
        <v>46040</v>
      </c>
      <c r="B49" t="s">
        <v>622</v>
      </c>
      <c r="C49" s="8" t="s">
        <v>621</v>
      </c>
      <c r="D49">
        <v>9350381812</v>
      </c>
      <c r="F49">
        <v>57568</v>
      </c>
      <c r="H49" t="s">
        <v>623</v>
      </c>
      <c r="I49">
        <f>649+500</f>
        <v>1149</v>
      </c>
      <c r="J49" t="s">
        <v>126</v>
      </c>
      <c r="K49" t="s">
        <v>13</v>
      </c>
    </row>
    <row r="50" spans="1:12">
      <c r="A50" s="1">
        <v>46040</v>
      </c>
      <c r="B50" t="s">
        <v>625</v>
      </c>
      <c r="C50" s="8" t="s">
        <v>624</v>
      </c>
      <c r="D50">
        <v>9811522367</v>
      </c>
      <c r="F50">
        <v>51650</v>
      </c>
      <c r="H50" t="s">
        <v>626</v>
      </c>
      <c r="I50">
        <v>649</v>
      </c>
      <c r="J50" t="s">
        <v>113</v>
      </c>
      <c r="K50" t="s">
        <v>13</v>
      </c>
    </row>
    <row r="51" spans="1:12">
      <c r="A51" s="1">
        <v>46040</v>
      </c>
      <c r="B51" t="s">
        <v>627</v>
      </c>
      <c r="C51" t="s">
        <v>464</v>
      </c>
      <c r="D51">
        <v>9990440099</v>
      </c>
      <c r="F51">
        <v>36763</v>
      </c>
      <c r="H51" t="s">
        <v>628</v>
      </c>
      <c r="I51">
        <v>2000</v>
      </c>
      <c r="J51" t="s">
        <v>113</v>
      </c>
      <c r="K51" t="s">
        <v>13</v>
      </c>
    </row>
    <row r="52" spans="1:12">
      <c r="A52" s="1">
        <v>46040</v>
      </c>
      <c r="B52" t="s">
        <v>296</v>
      </c>
      <c r="C52" t="s">
        <v>629</v>
      </c>
      <c r="D52">
        <v>9267907120</v>
      </c>
      <c r="F52">
        <v>11168</v>
      </c>
      <c r="H52" t="s">
        <v>630</v>
      </c>
      <c r="I52">
        <v>700</v>
      </c>
      <c r="J52" t="s">
        <v>113</v>
      </c>
      <c r="K52" t="s">
        <v>13</v>
      </c>
    </row>
    <row r="53" spans="1:12">
      <c r="A53" s="1">
        <v>46040</v>
      </c>
      <c r="B53" t="s">
        <v>631</v>
      </c>
      <c r="C53" t="s">
        <v>632</v>
      </c>
      <c r="D53">
        <v>7827564468</v>
      </c>
      <c r="F53">
        <v>5283</v>
      </c>
      <c r="H53" t="s">
        <v>633</v>
      </c>
      <c r="I53">
        <f>649+50+1000+580</f>
        <v>2279</v>
      </c>
      <c r="J53" t="s">
        <v>113</v>
      </c>
      <c r="K53" t="s">
        <v>13</v>
      </c>
    </row>
    <row r="54" spans="1:12">
      <c r="A54" s="1">
        <v>46040</v>
      </c>
      <c r="B54" t="s">
        <v>505</v>
      </c>
      <c r="C54" t="s">
        <v>507</v>
      </c>
      <c r="D54">
        <v>9718837342</v>
      </c>
      <c r="F54">
        <v>87000</v>
      </c>
      <c r="H54" t="s">
        <v>634</v>
      </c>
      <c r="I54">
        <v>950</v>
      </c>
      <c r="J54" t="s">
        <v>113</v>
      </c>
      <c r="K54" t="s">
        <v>18</v>
      </c>
      <c r="L54" t="s">
        <v>18</v>
      </c>
    </row>
    <row r="55" spans="1:12">
      <c r="A55" s="1">
        <v>46040</v>
      </c>
      <c r="B55" t="s">
        <v>504</v>
      </c>
      <c r="C55" t="s">
        <v>506</v>
      </c>
      <c r="D55">
        <v>8800302680</v>
      </c>
      <c r="F55">
        <v>44098</v>
      </c>
      <c r="H55" t="s">
        <v>635</v>
      </c>
      <c r="I55">
        <v>900</v>
      </c>
      <c r="J55" t="s">
        <v>113</v>
      </c>
      <c r="K55" t="s">
        <v>13</v>
      </c>
    </row>
    <row r="56" spans="1:12">
      <c r="A56" s="1">
        <v>46041</v>
      </c>
      <c r="B56" t="s">
        <v>15</v>
      </c>
      <c r="C56" t="s">
        <v>16</v>
      </c>
      <c r="D56">
        <v>8527952165</v>
      </c>
      <c r="F56">
        <v>36505</v>
      </c>
      <c r="H56" t="s">
        <v>520</v>
      </c>
      <c r="I56">
        <v>625</v>
      </c>
      <c r="J56" t="s">
        <v>113</v>
      </c>
      <c r="K56" t="s">
        <v>13</v>
      </c>
    </row>
    <row r="57" spans="1:12">
      <c r="A57" s="1">
        <v>46041</v>
      </c>
      <c r="B57" t="s">
        <v>637</v>
      </c>
      <c r="C57" t="s">
        <v>636</v>
      </c>
      <c r="D57">
        <v>7217754201</v>
      </c>
      <c r="F57">
        <v>28620</v>
      </c>
      <c r="H57" t="s">
        <v>518</v>
      </c>
      <c r="I57">
        <v>649</v>
      </c>
      <c r="J57" t="s">
        <v>113</v>
      </c>
      <c r="K57" t="s">
        <v>13</v>
      </c>
    </row>
    <row r="58" spans="1:12">
      <c r="A58" s="1">
        <v>46041</v>
      </c>
      <c r="B58" t="s">
        <v>638</v>
      </c>
      <c r="C58" t="s">
        <v>639</v>
      </c>
      <c r="D58">
        <v>7011972763</v>
      </c>
      <c r="F58">
        <v>35018</v>
      </c>
      <c r="H58" t="s">
        <v>640</v>
      </c>
      <c r="I58">
        <f>2000+1250+6000+1800+250+200+500+500+850+1656</f>
        <v>15006</v>
      </c>
      <c r="J58" t="s">
        <v>113</v>
      </c>
      <c r="K58" t="s">
        <v>18</v>
      </c>
      <c r="L58" t="s">
        <v>18</v>
      </c>
    </row>
    <row r="59" spans="1:12">
      <c r="A59" s="1">
        <v>46041</v>
      </c>
      <c r="C59" t="s">
        <v>641</v>
      </c>
      <c r="H59" t="s">
        <v>652</v>
      </c>
      <c r="I59">
        <v>300</v>
      </c>
      <c r="J59" t="s">
        <v>113</v>
      </c>
      <c r="K59" t="s">
        <v>13</v>
      </c>
    </row>
    <row r="60" spans="1:12">
      <c r="A60" s="1">
        <v>46043</v>
      </c>
      <c r="B60" t="s">
        <v>642</v>
      </c>
      <c r="C60" t="s">
        <v>643</v>
      </c>
      <c r="D60">
        <v>9050743772</v>
      </c>
      <c r="H60" t="s">
        <v>644</v>
      </c>
      <c r="I60">
        <v>2800</v>
      </c>
      <c r="J60" t="s">
        <v>126</v>
      </c>
      <c r="K60" t="s">
        <v>13</v>
      </c>
    </row>
    <row r="61" spans="1:12">
      <c r="A61" s="1">
        <v>46043</v>
      </c>
      <c r="B61" t="s">
        <v>645</v>
      </c>
      <c r="C61" t="s">
        <v>541</v>
      </c>
      <c r="D61">
        <v>9250846556</v>
      </c>
      <c r="F61">
        <v>43505</v>
      </c>
      <c r="H61" t="s">
        <v>646</v>
      </c>
      <c r="I61">
        <v>8174</v>
      </c>
      <c r="J61" t="s">
        <v>113</v>
      </c>
      <c r="K61" t="s">
        <v>13</v>
      </c>
    </row>
    <row r="62" spans="1:12">
      <c r="A62" s="1">
        <v>46044</v>
      </c>
      <c r="B62" t="s">
        <v>649</v>
      </c>
      <c r="C62" t="s">
        <v>650</v>
      </c>
      <c r="D62">
        <v>9868713666</v>
      </c>
      <c r="F62">
        <v>4273</v>
      </c>
      <c r="H62" t="s">
        <v>651</v>
      </c>
      <c r="I62">
        <v>885</v>
      </c>
      <c r="J62" t="s">
        <v>113</v>
      </c>
      <c r="K62" t="s">
        <v>13</v>
      </c>
    </row>
    <row r="63" spans="1:12">
      <c r="A63" s="1">
        <v>46044</v>
      </c>
      <c r="B63" t="s">
        <v>654</v>
      </c>
      <c r="C63" t="s">
        <v>653</v>
      </c>
      <c r="D63">
        <v>8285565174</v>
      </c>
      <c r="F63">
        <v>27094</v>
      </c>
      <c r="H63" t="s">
        <v>436</v>
      </c>
      <c r="I63">
        <v>1352</v>
      </c>
      <c r="J63" t="s">
        <v>113</v>
      </c>
      <c r="K63" t="s">
        <v>13</v>
      </c>
    </row>
    <row r="64" spans="1:12">
      <c r="A64" s="1">
        <v>46045</v>
      </c>
      <c r="B64" t="s">
        <v>656</v>
      </c>
      <c r="C64" t="s">
        <v>655</v>
      </c>
      <c r="D64">
        <v>7289840443</v>
      </c>
      <c r="F64">
        <v>80132</v>
      </c>
      <c r="H64" t="s">
        <v>657</v>
      </c>
      <c r="I64">
        <f>10000+6050+4257</f>
        <v>20307</v>
      </c>
      <c r="J64" t="s">
        <v>113</v>
      </c>
      <c r="K64" t="s">
        <v>13</v>
      </c>
    </row>
    <row r="65" spans="1:13">
      <c r="A65" s="1">
        <v>46045</v>
      </c>
      <c r="B65" t="s">
        <v>658</v>
      </c>
      <c r="C65" t="s">
        <v>659</v>
      </c>
      <c r="D65">
        <v>9169863786</v>
      </c>
      <c r="F65">
        <v>24334</v>
      </c>
      <c r="H65" t="s">
        <v>660</v>
      </c>
      <c r="I65">
        <v>10200</v>
      </c>
      <c r="J65" t="s">
        <v>113</v>
      </c>
      <c r="K65" t="s">
        <v>13</v>
      </c>
    </row>
    <row r="66" spans="1:13">
      <c r="A66" s="1">
        <v>46046</v>
      </c>
      <c r="B66" t="s">
        <v>661</v>
      </c>
      <c r="C66" t="s">
        <v>662</v>
      </c>
      <c r="D66">
        <v>9868212089</v>
      </c>
      <c r="F66">
        <v>18696</v>
      </c>
      <c r="H66" t="s">
        <v>663</v>
      </c>
      <c r="I66">
        <v>649</v>
      </c>
      <c r="J66" t="s">
        <v>113</v>
      </c>
      <c r="K66" t="s">
        <v>13</v>
      </c>
    </row>
    <row r="67" spans="1:13">
      <c r="A67" s="1">
        <v>46046</v>
      </c>
      <c r="B67" t="s">
        <v>664</v>
      </c>
      <c r="C67" t="s">
        <v>665</v>
      </c>
      <c r="D67">
        <v>9716599100</v>
      </c>
      <c r="F67">
        <v>47896</v>
      </c>
      <c r="H67" t="s">
        <v>666</v>
      </c>
      <c r="I67">
        <v>4823</v>
      </c>
      <c r="J67" t="s">
        <v>113</v>
      </c>
      <c r="K67" t="s">
        <v>18</v>
      </c>
      <c r="L67" t="s">
        <v>18</v>
      </c>
    </row>
    <row r="68" spans="1:13">
      <c r="A68" s="1">
        <v>46046</v>
      </c>
      <c r="B68" t="s">
        <v>658</v>
      </c>
      <c r="C68" t="s">
        <v>659</v>
      </c>
      <c r="D68">
        <v>9169863786</v>
      </c>
      <c r="F68">
        <v>24334</v>
      </c>
      <c r="H68" t="s">
        <v>667</v>
      </c>
      <c r="I68">
        <v>500</v>
      </c>
      <c r="J68" t="s">
        <v>113</v>
      </c>
      <c r="K68" t="s">
        <v>13</v>
      </c>
    </row>
    <row r="69" spans="1:13">
      <c r="A69" s="1">
        <v>46047</v>
      </c>
      <c r="B69" t="s">
        <v>669</v>
      </c>
      <c r="C69" t="s">
        <v>668</v>
      </c>
      <c r="D69">
        <v>8130513425</v>
      </c>
      <c r="F69">
        <v>5993</v>
      </c>
      <c r="H69" t="s">
        <v>670</v>
      </c>
      <c r="I69">
        <v>1910</v>
      </c>
      <c r="J69" t="s">
        <v>126</v>
      </c>
      <c r="K69" t="s">
        <v>13</v>
      </c>
    </row>
    <row r="70" spans="1:13">
      <c r="A70" s="1">
        <v>46047</v>
      </c>
      <c r="B70" t="s">
        <v>20</v>
      </c>
      <c r="C70" t="s">
        <v>21</v>
      </c>
      <c r="D70">
        <v>9968055856</v>
      </c>
      <c r="F70">
        <v>16122</v>
      </c>
      <c r="H70" t="s">
        <v>37</v>
      </c>
      <c r="I70">
        <v>750</v>
      </c>
      <c r="J70" t="s">
        <v>126</v>
      </c>
      <c r="K70" t="s">
        <v>13</v>
      </c>
    </row>
    <row r="71" spans="1:13">
      <c r="A71" s="1">
        <v>46047</v>
      </c>
      <c r="B71" t="s">
        <v>169</v>
      </c>
      <c r="C71" t="s">
        <v>171</v>
      </c>
      <c r="D71">
        <v>7982602348</v>
      </c>
      <c r="F71">
        <v>14219</v>
      </c>
      <c r="H71" t="s">
        <v>671</v>
      </c>
      <c r="I71">
        <v>600</v>
      </c>
      <c r="J71" t="s">
        <v>113</v>
      </c>
      <c r="K71" t="s">
        <v>13</v>
      </c>
    </row>
    <row r="72" spans="1:13">
      <c r="A72" s="1">
        <v>46047</v>
      </c>
      <c r="B72" t="s">
        <v>672</v>
      </c>
      <c r="C72" t="s">
        <v>673</v>
      </c>
      <c r="D72">
        <v>9891061489</v>
      </c>
      <c r="F72">
        <v>32896</v>
      </c>
      <c r="H72" t="s">
        <v>436</v>
      </c>
      <c r="I72">
        <v>850</v>
      </c>
      <c r="J72" t="s">
        <v>126</v>
      </c>
      <c r="K72" t="s">
        <v>13</v>
      </c>
    </row>
    <row r="73" spans="1:13">
      <c r="A73" s="1">
        <v>46050</v>
      </c>
      <c r="B73" t="s">
        <v>675</v>
      </c>
      <c r="C73" t="s">
        <v>674</v>
      </c>
      <c r="D73">
        <v>9654352337</v>
      </c>
      <c r="F73">
        <v>63099</v>
      </c>
      <c r="H73" t="s">
        <v>37</v>
      </c>
      <c r="I73">
        <v>650</v>
      </c>
      <c r="J73" t="s">
        <v>126</v>
      </c>
      <c r="K73" t="s">
        <v>13</v>
      </c>
    </row>
    <row r="74" spans="1:13">
      <c r="A74" s="1">
        <v>46050</v>
      </c>
      <c r="B74" t="s">
        <v>676</v>
      </c>
      <c r="C74" t="s">
        <v>677</v>
      </c>
      <c r="D74">
        <v>9555535299</v>
      </c>
      <c r="E74" t="s">
        <v>679</v>
      </c>
      <c r="F74">
        <v>41013</v>
      </c>
      <c r="H74" t="s">
        <v>678</v>
      </c>
      <c r="I74">
        <v>1000</v>
      </c>
      <c r="J74" t="s">
        <v>113</v>
      </c>
      <c r="K74" t="s">
        <v>13</v>
      </c>
    </row>
    <row r="75" spans="1:13">
      <c r="A75" s="1">
        <v>46050</v>
      </c>
      <c r="B75" t="s">
        <v>680</v>
      </c>
      <c r="C75" t="s">
        <v>682</v>
      </c>
      <c r="D75">
        <v>9968151266</v>
      </c>
      <c r="F75">
        <v>82211</v>
      </c>
      <c r="H75" t="s">
        <v>681</v>
      </c>
      <c r="I75">
        <v>1000</v>
      </c>
      <c r="J75" t="s">
        <v>113</v>
      </c>
      <c r="K75" t="s">
        <v>13</v>
      </c>
      <c r="M75" t="s">
        <v>683</v>
      </c>
    </row>
    <row r="76" spans="1:13">
      <c r="A76" s="1">
        <v>46050</v>
      </c>
      <c r="B76" t="s">
        <v>137</v>
      </c>
      <c r="C76" t="s">
        <v>138</v>
      </c>
      <c r="D76">
        <v>8448867080</v>
      </c>
      <c r="F76">
        <v>12345</v>
      </c>
      <c r="H76" t="s">
        <v>684</v>
      </c>
      <c r="I76">
        <v>150</v>
      </c>
      <c r="J76" t="s">
        <v>113</v>
      </c>
      <c r="K76" t="s">
        <v>13</v>
      </c>
    </row>
    <row r="77" spans="1:13">
      <c r="A77" s="1">
        <v>46051</v>
      </c>
      <c r="B77" t="s">
        <v>685</v>
      </c>
      <c r="C77" t="s">
        <v>686</v>
      </c>
      <c r="D77">
        <v>9899365251</v>
      </c>
      <c r="F77">
        <v>27412</v>
      </c>
      <c r="H77" t="s">
        <v>687</v>
      </c>
      <c r="I77">
        <v>4794</v>
      </c>
      <c r="J77" t="s">
        <v>181</v>
      </c>
      <c r="K77" t="s">
        <v>18</v>
      </c>
      <c r="L77" t="s">
        <v>18</v>
      </c>
    </row>
    <row r="78" spans="1:13">
      <c r="A78" s="1">
        <v>46051</v>
      </c>
      <c r="B78" t="s">
        <v>688</v>
      </c>
      <c r="C78" t="s">
        <v>147</v>
      </c>
      <c r="D78">
        <v>7503973980</v>
      </c>
      <c r="H78" t="s">
        <v>689</v>
      </c>
      <c r="I78">
        <v>3270</v>
      </c>
      <c r="J78" t="s">
        <v>181</v>
      </c>
      <c r="K78" t="s">
        <v>13</v>
      </c>
    </row>
    <row r="79" spans="1:13">
      <c r="A79" s="1">
        <v>46051</v>
      </c>
      <c r="B79" t="s">
        <v>690</v>
      </c>
      <c r="C79" t="s">
        <v>691</v>
      </c>
      <c r="D79">
        <v>9012764919</v>
      </c>
      <c r="F79">
        <v>13278</v>
      </c>
      <c r="H79" t="s">
        <v>692</v>
      </c>
      <c r="I79">
        <v>945</v>
      </c>
      <c r="J79" t="s">
        <v>126</v>
      </c>
      <c r="K79" t="s">
        <v>13</v>
      </c>
    </row>
    <row r="80" spans="1:13">
      <c r="A80" s="1">
        <v>46052</v>
      </c>
      <c r="B80" t="s">
        <v>693</v>
      </c>
      <c r="C80" t="s">
        <v>643</v>
      </c>
      <c r="D80">
        <v>8130746801</v>
      </c>
      <c r="F80">
        <v>10000</v>
      </c>
      <c r="H80" t="s">
        <v>694</v>
      </c>
      <c r="I80">
        <v>2385</v>
      </c>
      <c r="J80" t="s">
        <v>113</v>
      </c>
      <c r="K80" t="s">
        <v>13</v>
      </c>
    </row>
    <row r="81" spans="1:11">
      <c r="A81" s="1">
        <v>46052</v>
      </c>
      <c r="B81" t="s">
        <v>695</v>
      </c>
      <c r="C81" t="s">
        <v>696</v>
      </c>
      <c r="D81">
        <v>9315901212</v>
      </c>
      <c r="F81">
        <v>26621</v>
      </c>
      <c r="H81" t="s">
        <v>697</v>
      </c>
      <c r="I81">
        <v>1720</v>
      </c>
      <c r="J81" t="s">
        <v>113</v>
      </c>
      <c r="K81" t="s">
        <v>13</v>
      </c>
    </row>
    <row r="82" spans="1:11">
      <c r="A82" s="1">
        <v>46052</v>
      </c>
      <c r="B82" t="s">
        <v>698</v>
      </c>
      <c r="C82" t="s">
        <v>319</v>
      </c>
      <c r="D82">
        <v>8930072776</v>
      </c>
      <c r="F82">
        <v>77000</v>
      </c>
      <c r="H82" t="s">
        <v>699</v>
      </c>
      <c r="I82">
        <v>8674</v>
      </c>
      <c r="J82" t="s">
        <v>113</v>
      </c>
      <c r="K82" t="s">
        <v>13</v>
      </c>
    </row>
    <row r="83" spans="1:11">
      <c r="A83" s="1">
        <v>46052</v>
      </c>
      <c r="B83" t="s">
        <v>700</v>
      </c>
      <c r="C83" t="s">
        <v>701</v>
      </c>
      <c r="D83">
        <v>9649645956</v>
      </c>
      <c r="F83">
        <v>32709</v>
      </c>
      <c r="H83" t="s">
        <v>694</v>
      </c>
      <c r="I83">
        <v>2560</v>
      </c>
      <c r="J83" t="s">
        <v>113</v>
      </c>
      <c r="K83" t="s">
        <v>13</v>
      </c>
    </row>
    <row r="84" spans="1:11" ht="15.75" thickBot="1">
      <c r="A84" s="1">
        <v>46053</v>
      </c>
      <c r="B84" t="s">
        <v>505</v>
      </c>
      <c r="C84" t="s">
        <v>507</v>
      </c>
      <c r="D84">
        <v>9718837342</v>
      </c>
      <c r="F84">
        <v>88500</v>
      </c>
      <c r="H84" t="s">
        <v>702</v>
      </c>
      <c r="I84" s="12">
        <v>3200</v>
      </c>
      <c r="J84" t="s">
        <v>113</v>
      </c>
      <c r="K84" t="s">
        <v>13</v>
      </c>
    </row>
    <row r="85" spans="1:11" ht="15.75" thickBot="1">
      <c r="A85" s="1">
        <v>46053</v>
      </c>
      <c r="B85" t="s">
        <v>703</v>
      </c>
      <c r="C85" t="s">
        <v>705</v>
      </c>
      <c r="D85">
        <v>9968113825</v>
      </c>
      <c r="E85" s="15"/>
      <c r="F85">
        <v>20582</v>
      </c>
      <c r="H85" t="s">
        <v>704</v>
      </c>
      <c r="I85">
        <f>2100+150</f>
        <v>2250</v>
      </c>
      <c r="J85" t="s">
        <v>113</v>
      </c>
      <c r="K85" t="s">
        <v>13</v>
      </c>
    </row>
    <row r="86" spans="1:11">
      <c r="A86" s="1">
        <v>46053</v>
      </c>
      <c r="B86" t="s">
        <v>707</v>
      </c>
      <c r="C86" t="s">
        <v>706</v>
      </c>
      <c r="D86">
        <v>8448707890</v>
      </c>
      <c r="F86">
        <v>29878</v>
      </c>
      <c r="H86" t="s">
        <v>708</v>
      </c>
      <c r="I86">
        <v>1979</v>
      </c>
      <c r="J86" t="s">
        <v>113</v>
      </c>
      <c r="K86" t="s">
        <v>13</v>
      </c>
    </row>
    <row r="87" spans="1:11">
      <c r="A87" s="1">
        <v>46053</v>
      </c>
      <c r="B87" t="s">
        <v>362</v>
      </c>
      <c r="C87" t="s">
        <v>709</v>
      </c>
      <c r="D87">
        <v>9999125259</v>
      </c>
      <c r="F87">
        <v>62766</v>
      </c>
      <c r="H87" t="s">
        <v>141</v>
      </c>
      <c r="I87">
        <v>1075</v>
      </c>
      <c r="J87" t="s">
        <v>126</v>
      </c>
      <c r="K87" t="s">
        <v>13</v>
      </c>
    </row>
    <row r="88" spans="1:11">
      <c r="A88" s="1">
        <v>46053</v>
      </c>
      <c r="B88" t="s">
        <v>352</v>
      </c>
      <c r="C88" t="s">
        <v>353</v>
      </c>
      <c r="D88">
        <v>9315923567</v>
      </c>
      <c r="F88">
        <v>56051</v>
      </c>
      <c r="H88" t="s">
        <v>710</v>
      </c>
      <c r="I88">
        <v>2800</v>
      </c>
      <c r="J88" t="s">
        <v>113</v>
      </c>
      <c r="K88" t="s">
        <v>13</v>
      </c>
    </row>
  </sheetData>
  <autoFilter ref="A2:N88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98"/>
  <sheetViews>
    <sheetView topLeftCell="A65" workbookViewId="0">
      <selection activeCell="C84" sqref="C84"/>
    </sheetView>
  </sheetViews>
  <sheetFormatPr defaultRowHeight="15"/>
  <cols>
    <col min="1" max="1" width="10.42578125" bestFit="1" customWidth="1"/>
    <col min="2" max="2" width="11.5703125" bestFit="1" customWidth="1"/>
    <col min="3" max="3" width="35.28515625" bestFit="1" customWidth="1"/>
    <col min="4" max="4" width="14.42578125" customWidth="1"/>
    <col min="5" max="5" width="20.140625" bestFit="1" customWidth="1"/>
    <col min="8" max="8" width="58.5703125" customWidth="1"/>
    <col min="9" max="9" width="12.140625" customWidth="1"/>
    <col min="10" max="10" width="18.5703125" bestFit="1" customWidth="1"/>
    <col min="11" max="11" width="16.5703125" bestFit="1" customWidth="1"/>
    <col min="12" max="12" width="15" bestFit="1" customWidth="1"/>
  </cols>
  <sheetData>
    <row r="2" spans="1:12">
      <c r="A2" t="s">
        <v>24</v>
      </c>
      <c r="B2" t="s">
        <v>0</v>
      </c>
      <c r="C2" t="s">
        <v>1</v>
      </c>
      <c r="D2" t="s">
        <v>2</v>
      </c>
      <c r="E2" t="s">
        <v>3</v>
      </c>
      <c r="F2" t="s">
        <v>112</v>
      </c>
      <c r="G2" t="s">
        <v>5</v>
      </c>
      <c r="H2" t="s">
        <v>4</v>
      </c>
      <c r="I2" t="s">
        <v>6</v>
      </c>
      <c r="J2" t="s">
        <v>10</v>
      </c>
      <c r="K2" t="s">
        <v>12</v>
      </c>
      <c r="L2" t="s">
        <v>14</v>
      </c>
    </row>
    <row r="3" spans="1:12">
      <c r="A3" s="1">
        <v>46054</v>
      </c>
      <c r="B3" t="s">
        <v>711</v>
      </c>
      <c r="F3">
        <v>98000</v>
      </c>
      <c r="G3" t="s">
        <v>13</v>
      </c>
      <c r="H3" t="s">
        <v>122</v>
      </c>
      <c r="I3">
        <v>400</v>
      </c>
      <c r="J3" t="s">
        <v>126</v>
      </c>
      <c r="K3" t="s">
        <v>13</v>
      </c>
    </row>
    <row r="4" spans="1:12">
      <c r="A4" s="1">
        <v>46054</v>
      </c>
      <c r="B4" t="s">
        <v>267</v>
      </c>
      <c r="C4" t="s">
        <v>268</v>
      </c>
      <c r="D4">
        <v>9716163534</v>
      </c>
      <c r="F4">
        <v>16943</v>
      </c>
      <c r="G4" t="s">
        <v>18</v>
      </c>
      <c r="H4" t="s">
        <v>715</v>
      </c>
      <c r="I4">
        <v>1852</v>
      </c>
      <c r="J4" t="s">
        <v>113</v>
      </c>
      <c r="K4" t="s">
        <v>13</v>
      </c>
    </row>
    <row r="5" spans="1:12">
      <c r="A5" s="1">
        <v>46054</v>
      </c>
      <c r="B5" t="s">
        <v>712</v>
      </c>
      <c r="C5" t="s">
        <v>713</v>
      </c>
      <c r="D5">
        <v>9718902111</v>
      </c>
      <c r="F5">
        <v>14000</v>
      </c>
      <c r="G5" t="s">
        <v>13</v>
      </c>
      <c r="H5" t="s">
        <v>714</v>
      </c>
      <c r="I5">
        <v>725</v>
      </c>
      <c r="J5" t="s">
        <v>113</v>
      </c>
      <c r="K5" t="s">
        <v>13</v>
      </c>
    </row>
    <row r="6" spans="1:12">
      <c r="A6" s="1">
        <v>46054</v>
      </c>
      <c r="B6" t="s">
        <v>716</v>
      </c>
      <c r="C6" t="s">
        <v>717</v>
      </c>
      <c r="D6">
        <v>8628809659</v>
      </c>
      <c r="F6">
        <v>63251</v>
      </c>
      <c r="G6" t="s">
        <v>18</v>
      </c>
      <c r="H6" t="s">
        <v>718</v>
      </c>
      <c r="I6">
        <v>9059</v>
      </c>
      <c r="J6" t="s">
        <v>113</v>
      </c>
      <c r="K6" t="s">
        <v>13</v>
      </c>
    </row>
    <row r="7" spans="1:12">
      <c r="A7" s="1">
        <v>46055</v>
      </c>
      <c r="B7" t="s">
        <v>721</v>
      </c>
      <c r="C7" t="s">
        <v>719</v>
      </c>
      <c r="D7">
        <v>8826880312</v>
      </c>
      <c r="F7">
        <v>30270</v>
      </c>
      <c r="G7" t="s">
        <v>18</v>
      </c>
      <c r="H7" t="s">
        <v>720</v>
      </c>
      <c r="I7">
        <v>1682</v>
      </c>
      <c r="J7" t="s">
        <v>113</v>
      </c>
      <c r="K7" t="s">
        <v>13</v>
      </c>
    </row>
    <row r="8" spans="1:12">
      <c r="A8" s="1">
        <v>46055</v>
      </c>
      <c r="B8" t="s">
        <v>722</v>
      </c>
      <c r="C8" t="s">
        <v>719</v>
      </c>
      <c r="D8">
        <v>8826880312</v>
      </c>
      <c r="F8">
        <v>40350</v>
      </c>
      <c r="G8" t="s">
        <v>18</v>
      </c>
      <c r="H8" t="s">
        <v>723</v>
      </c>
      <c r="I8">
        <v>2738</v>
      </c>
      <c r="J8" t="s">
        <v>113</v>
      </c>
      <c r="K8" t="s">
        <v>13</v>
      </c>
    </row>
    <row r="9" spans="1:12">
      <c r="A9" s="1">
        <v>46055</v>
      </c>
      <c r="B9" t="s">
        <v>622</v>
      </c>
      <c r="C9" t="s">
        <v>621</v>
      </c>
      <c r="D9">
        <v>9350381812</v>
      </c>
      <c r="F9">
        <v>58281</v>
      </c>
      <c r="G9" t="s">
        <v>18</v>
      </c>
      <c r="H9" t="s">
        <v>141</v>
      </c>
      <c r="I9">
        <v>1075</v>
      </c>
      <c r="J9" t="s">
        <v>113</v>
      </c>
      <c r="K9" t="s">
        <v>13</v>
      </c>
    </row>
    <row r="10" spans="1:12">
      <c r="A10" s="1">
        <v>46055</v>
      </c>
      <c r="B10" t="s">
        <v>645</v>
      </c>
      <c r="C10" t="s">
        <v>541</v>
      </c>
      <c r="D10">
        <v>9250846556</v>
      </c>
      <c r="F10">
        <v>43940</v>
      </c>
      <c r="G10" t="s">
        <v>18</v>
      </c>
      <c r="H10" t="s">
        <v>724</v>
      </c>
      <c r="I10">
        <v>500</v>
      </c>
      <c r="J10" t="s">
        <v>113</v>
      </c>
      <c r="K10" t="s">
        <v>13</v>
      </c>
    </row>
    <row r="11" spans="1:12">
      <c r="A11" s="1">
        <v>46055</v>
      </c>
      <c r="B11" t="s">
        <v>725</v>
      </c>
      <c r="C11" t="s">
        <v>726</v>
      </c>
      <c r="D11">
        <v>9717505127</v>
      </c>
      <c r="F11">
        <v>4005</v>
      </c>
      <c r="G11" t="s">
        <v>18</v>
      </c>
      <c r="H11" t="s">
        <v>37</v>
      </c>
      <c r="I11">
        <v>649</v>
      </c>
      <c r="J11" t="s">
        <v>113</v>
      </c>
      <c r="K11" t="s">
        <v>13</v>
      </c>
    </row>
    <row r="12" spans="1:12">
      <c r="A12" s="1">
        <v>46057</v>
      </c>
      <c r="B12" t="s">
        <v>303</v>
      </c>
      <c r="C12" t="s">
        <v>727</v>
      </c>
      <c r="D12">
        <v>9891807342</v>
      </c>
      <c r="F12">
        <v>18000</v>
      </c>
      <c r="G12" t="s">
        <v>13</v>
      </c>
      <c r="H12" t="s">
        <v>728</v>
      </c>
      <c r="I12">
        <v>950</v>
      </c>
      <c r="J12" t="s">
        <v>113</v>
      </c>
      <c r="K12" t="s">
        <v>13</v>
      </c>
    </row>
    <row r="13" spans="1:12">
      <c r="A13" s="1">
        <v>46057</v>
      </c>
      <c r="B13" t="s">
        <v>729</v>
      </c>
      <c r="C13" t="s">
        <v>730</v>
      </c>
      <c r="D13">
        <v>8826880312</v>
      </c>
      <c r="F13">
        <v>36000</v>
      </c>
      <c r="G13" t="s">
        <v>18</v>
      </c>
      <c r="H13" t="s">
        <v>731</v>
      </c>
      <c r="I13">
        <v>2910</v>
      </c>
      <c r="J13" t="s">
        <v>113</v>
      </c>
      <c r="K13" t="s">
        <v>18</v>
      </c>
      <c r="L13" t="s">
        <v>18</v>
      </c>
    </row>
    <row r="14" spans="1:12">
      <c r="A14" s="1">
        <v>46057</v>
      </c>
      <c r="B14" t="s">
        <v>732</v>
      </c>
      <c r="C14" t="s">
        <v>733</v>
      </c>
      <c r="D14">
        <v>9990272662</v>
      </c>
      <c r="F14">
        <v>37000</v>
      </c>
      <c r="G14" t="s">
        <v>18</v>
      </c>
      <c r="H14" t="s">
        <v>734</v>
      </c>
      <c r="I14">
        <v>8174</v>
      </c>
      <c r="J14" t="s">
        <v>113</v>
      </c>
      <c r="K14" t="s">
        <v>13</v>
      </c>
    </row>
    <row r="15" spans="1:12">
      <c r="A15" s="1">
        <v>46057</v>
      </c>
      <c r="B15" t="s">
        <v>698</v>
      </c>
      <c r="C15" t="s">
        <v>319</v>
      </c>
      <c r="D15">
        <v>8930072776</v>
      </c>
      <c r="F15">
        <v>22000</v>
      </c>
      <c r="G15" t="s">
        <v>13</v>
      </c>
      <c r="H15" t="s">
        <v>41</v>
      </c>
      <c r="I15">
        <v>1007</v>
      </c>
      <c r="J15" t="s">
        <v>113</v>
      </c>
      <c r="K15" t="s">
        <v>18</v>
      </c>
      <c r="L15" t="s">
        <v>18</v>
      </c>
    </row>
    <row r="16" spans="1:12">
      <c r="A16" s="1">
        <v>46057</v>
      </c>
      <c r="B16" t="s">
        <v>735</v>
      </c>
      <c r="C16" t="s">
        <v>737</v>
      </c>
      <c r="D16">
        <v>9716902501</v>
      </c>
      <c r="F16">
        <v>85252</v>
      </c>
      <c r="G16" t="s">
        <v>18</v>
      </c>
      <c r="H16" t="s">
        <v>736</v>
      </c>
      <c r="I16">
        <v>4886</v>
      </c>
      <c r="J16" t="s">
        <v>113</v>
      </c>
      <c r="K16" t="s">
        <v>13</v>
      </c>
    </row>
    <row r="17" spans="1:11">
      <c r="A17" s="1">
        <v>46058</v>
      </c>
      <c r="B17" t="s">
        <v>738</v>
      </c>
      <c r="C17" t="s">
        <v>119</v>
      </c>
      <c r="D17">
        <v>9266390150</v>
      </c>
      <c r="F17">
        <v>69993</v>
      </c>
      <c r="G17" t="s">
        <v>18</v>
      </c>
      <c r="H17" t="s">
        <v>739</v>
      </c>
      <c r="I17">
        <v>5332</v>
      </c>
      <c r="J17" t="s">
        <v>113</v>
      </c>
      <c r="K17" t="s">
        <v>13</v>
      </c>
    </row>
    <row r="18" spans="1:11">
      <c r="A18" s="1">
        <v>46058</v>
      </c>
      <c r="B18" t="s">
        <v>474</v>
      </c>
      <c r="C18" t="s">
        <v>740</v>
      </c>
      <c r="D18">
        <v>9310097380</v>
      </c>
      <c r="F18">
        <v>61943</v>
      </c>
      <c r="G18" t="s">
        <v>18</v>
      </c>
      <c r="H18" t="s">
        <v>37</v>
      </c>
      <c r="I18">
        <v>649</v>
      </c>
      <c r="J18" t="s">
        <v>113</v>
      </c>
      <c r="K18" t="s">
        <v>13</v>
      </c>
    </row>
    <row r="19" spans="1:11">
      <c r="A19" s="1">
        <v>46058</v>
      </c>
      <c r="B19" t="s">
        <v>661</v>
      </c>
      <c r="C19" t="s">
        <v>741</v>
      </c>
      <c r="D19">
        <v>9868212089</v>
      </c>
      <c r="F19">
        <v>18703</v>
      </c>
      <c r="G19" t="s">
        <v>18</v>
      </c>
      <c r="H19" t="s">
        <v>745</v>
      </c>
      <c r="I19">
        <v>7050</v>
      </c>
      <c r="J19" t="s">
        <v>113</v>
      </c>
      <c r="K19" t="s">
        <v>13</v>
      </c>
    </row>
    <row r="20" spans="1:11">
      <c r="A20" s="1">
        <v>46058</v>
      </c>
      <c r="B20" t="s">
        <v>743</v>
      </c>
      <c r="C20" t="s">
        <v>744</v>
      </c>
      <c r="D20">
        <v>9953703088</v>
      </c>
      <c r="F20">
        <v>25839</v>
      </c>
      <c r="G20" t="s">
        <v>18</v>
      </c>
      <c r="H20" t="s">
        <v>742</v>
      </c>
      <c r="I20">
        <v>1136</v>
      </c>
      <c r="J20" t="s">
        <v>113</v>
      </c>
      <c r="K20" t="s">
        <v>13</v>
      </c>
    </row>
    <row r="21" spans="1:11">
      <c r="A21" s="1">
        <v>46059</v>
      </c>
      <c r="B21" t="s">
        <v>746</v>
      </c>
      <c r="C21" t="s">
        <v>747</v>
      </c>
      <c r="D21">
        <v>7838453504</v>
      </c>
      <c r="F21">
        <v>22358</v>
      </c>
      <c r="G21" t="s">
        <v>8</v>
      </c>
      <c r="H21" t="s">
        <v>748</v>
      </c>
      <c r="I21">
        <v>5836</v>
      </c>
      <c r="J21" t="s">
        <v>181</v>
      </c>
      <c r="K21" t="s">
        <v>13</v>
      </c>
    </row>
    <row r="22" spans="1:11">
      <c r="A22" s="1">
        <v>46059</v>
      </c>
      <c r="B22" t="s">
        <v>750</v>
      </c>
      <c r="C22" t="s">
        <v>749</v>
      </c>
      <c r="D22">
        <v>9990331866</v>
      </c>
      <c r="F22">
        <v>59537</v>
      </c>
      <c r="G22" t="s">
        <v>18</v>
      </c>
      <c r="H22" t="s">
        <v>752</v>
      </c>
      <c r="I22">
        <v>2800</v>
      </c>
      <c r="J22" t="s">
        <v>126</v>
      </c>
      <c r="K22" t="s">
        <v>13</v>
      </c>
    </row>
    <row r="23" spans="1:11">
      <c r="A23" s="1">
        <v>46059</v>
      </c>
      <c r="B23" t="s">
        <v>751</v>
      </c>
      <c r="C23" t="s">
        <v>730</v>
      </c>
      <c r="D23">
        <v>9952023880</v>
      </c>
      <c r="F23">
        <v>31890</v>
      </c>
      <c r="G23" t="s">
        <v>18</v>
      </c>
      <c r="H23" t="s">
        <v>753</v>
      </c>
      <c r="I23">
        <v>3693</v>
      </c>
      <c r="J23" t="s">
        <v>113</v>
      </c>
      <c r="K23" t="s">
        <v>13</v>
      </c>
    </row>
    <row r="24" spans="1:11">
      <c r="A24" s="1">
        <v>46059</v>
      </c>
      <c r="B24" t="s">
        <v>343</v>
      </c>
      <c r="C24" t="s">
        <v>611</v>
      </c>
      <c r="D24">
        <v>8851979833</v>
      </c>
      <c r="F24">
        <v>71201</v>
      </c>
      <c r="G24" t="s">
        <v>13</v>
      </c>
      <c r="H24" t="s">
        <v>754</v>
      </c>
      <c r="I24">
        <v>250</v>
      </c>
      <c r="J24" t="s">
        <v>126</v>
      </c>
      <c r="K24" t="s">
        <v>13</v>
      </c>
    </row>
    <row r="25" spans="1:11">
      <c r="A25" s="1">
        <v>46059</v>
      </c>
      <c r="B25" t="s">
        <v>505</v>
      </c>
      <c r="C25" t="s">
        <v>507</v>
      </c>
      <c r="D25">
        <v>9718837342</v>
      </c>
      <c r="F25">
        <v>89092</v>
      </c>
      <c r="G25" t="s">
        <v>13</v>
      </c>
      <c r="H25" t="s">
        <v>755</v>
      </c>
      <c r="I25">
        <v>350</v>
      </c>
      <c r="J25" t="s">
        <v>113</v>
      </c>
      <c r="K25" t="s">
        <v>13</v>
      </c>
    </row>
    <row r="26" spans="1:11">
      <c r="A26" s="1">
        <v>46059</v>
      </c>
      <c r="B26" t="s">
        <v>757</v>
      </c>
      <c r="C26" t="s">
        <v>756</v>
      </c>
      <c r="D26">
        <v>9968779428</v>
      </c>
      <c r="F26">
        <v>38000</v>
      </c>
      <c r="G26" t="s">
        <v>13</v>
      </c>
      <c r="H26" t="s">
        <v>758</v>
      </c>
      <c r="I26">
        <v>2686</v>
      </c>
      <c r="J26" t="s">
        <v>759</v>
      </c>
      <c r="K26" t="s">
        <v>13</v>
      </c>
    </row>
    <row r="27" spans="1:11">
      <c r="A27" s="1">
        <v>46061</v>
      </c>
      <c r="B27" t="s">
        <v>367</v>
      </c>
      <c r="C27" t="s">
        <v>368</v>
      </c>
      <c r="D27">
        <v>9929384851</v>
      </c>
      <c r="F27">
        <v>30000</v>
      </c>
      <c r="G27" t="s">
        <v>13</v>
      </c>
      <c r="H27" t="s">
        <v>772</v>
      </c>
      <c r="I27" s="5">
        <v>1700</v>
      </c>
      <c r="J27" t="s">
        <v>113</v>
      </c>
      <c r="K27" t="s">
        <v>13</v>
      </c>
    </row>
    <row r="28" spans="1:11">
      <c r="A28" s="1">
        <v>46061</v>
      </c>
      <c r="B28" t="s">
        <v>761</v>
      </c>
      <c r="C28" t="s">
        <v>760</v>
      </c>
      <c r="D28">
        <v>9560678384</v>
      </c>
      <c r="F28">
        <v>80025</v>
      </c>
      <c r="G28" t="s">
        <v>18</v>
      </c>
      <c r="H28" t="s">
        <v>762</v>
      </c>
      <c r="I28" s="5">
        <v>775</v>
      </c>
      <c r="J28" t="s">
        <v>113</v>
      </c>
      <c r="K28" t="s">
        <v>13</v>
      </c>
    </row>
    <row r="29" spans="1:11">
      <c r="A29" s="1">
        <v>46061</v>
      </c>
      <c r="B29" t="s">
        <v>763</v>
      </c>
      <c r="C29" t="s">
        <v>764</v>
      </c>
      <c r="D29">
        <v>9910016096</v>
      </c>
      <c r="F29">
        <v>59624</v>
      </c>
      <c r="G29" t="s">
        <v>18</v>
      </c>
      <c r="H29" t="s">
        <v>37</v>
      </c>
      <c r="I29" s="5">
        <v>649</v>
      </c>
      <c r="J29" t="s">
        <v>113</v>
      </c>
      <c r="K29" t="s">
        <v>13</v>
      </c>
    </row>
    <row r="30" spans="1:11">
      <c r="A30" s="1">
        <v>46061</v>
      </c>
      <c r="B30" t="s">
        <v>743</v>
      </c>
      <c r="C30" t="s">
        <v>744</v>
      </c>
      <c r="D30">
        <v>9953703088</v>
      </c>
      <c r="F30">
        <v>25839</v>
      </c>
      <c r="G30" t="s">
        <v>13</v>
      </c>
      <c r="H30" t="s">
        <v>765</v>
      </c>
      <c r="I30" s="5">
        <v>3125</v>
      </c>
      <c r="J30" t="s">
        <v>113</v>
      </c>
      <c r="K30" t="s">
        <v>13</v>
      </c>
    </row>
    <row r="31" spans="1:11">
      <c r="A31" s="1">
        <v>46061</v>
      </c>
      <c r="B31" t="s">
        <v>766</v>
      </c>
      <c r="C31" t="s">
        <v>767</v>
      </c>
      <c r="D31">
        <v>9015798700</v>
      </c>
      <c r="F31">
        <v>59599</v>
      </c>
      <c r="G31" t="s">
        <v>18</v>
      </c>
      <c r="H31" t="s">
        <v>768</v>
      </c>
      <c r="I31" s="5">
        <f>649+500+50+50</f>
        <v>1249</v>
      </c>
      <c r="J31" t="s">
        <v>113</v>
      </c>
      <c r="K31" t="s">
        <v>13</v>
      </c>
    </row>
    <row r="32" spans="1:11">
      <c r="A32" s="1">
        <v>46061</v>
      </c>
      <c r="B32" t="s">
        <v>769</v>
      </c>
      <c r="C32" t="s">
        <v>770</v>
      </c>
      <c r="D32">
        <v>9871475501</v>
      </c>
      <c r="F32">
        <v>86098</v>
      </c>
      <c r="G32" t="s">
        <v>18</v>
      </c>
      <c r="H32" t="s">
        <v>771</v>
      </c>
      <c r="I32" s="5">
        <f>950+4257</f>
        <v>5207</v>
      </c>
      <c r="J32" t="s">
        <v>113</v>
      </c>
      <c r="K32" t="s">
        <v>13</v>
      </c>
    </row>
    <row r="33" spans="1:11">
      <c r="A33" s="1">
        <v>46061</v>
      </c>
      <c r="B33" t="s">
        <v>773</v>
      </c>
      <c r="C33" t="s">
        <v>774</v>
      </c>
      <c r="D33">
        <v>9540645403</v>
      </c>
      <c r="F33">
        <v>43240</v>
      </c>
      <c r="G33" t="s">
        <v>13</v>
      </c>
      <c r="H33" t="s">
        <v>728</v>
      </c>
      <c r="I33" s="5">
        <v>950</v>
      </c>
      <c r="J33" t="s">
        <v>113</v>
      </c>
      <c r="K33" t="s">
        <v>13</v>
      </c>
    </row>
    <row r="34" spans="1:11">
      <c r="A34" s="1">
        <v>46061</v>
      </c>
      <c r="B34" t="s">
        <v>775</v>
      </c>
      <c r="C34" t="s">
        <v>776</v>
      </c>
      <c r="D34">
        <v>8802212513</v>
      </c>
      <c r="F34">
        <v>58960</v>
      </c>
      <c r="G34" t="s">
        <v>18</v>
      </c>
      <c r="H34" t="s">
        <v>777</v>
      </c>
      <c r="I34" s="5">
        <f>4257+160</f>
        <v>4417</v>
      </c>
      <c r="J34" t="s">
        <v>113</v>
      </c>
      <c r="K34" t="s">
        <v>13</v>
      </c>
    </row>
    <row r="35" spans="1:11">
      <c r="A35" s="1">
        <v>46061</v>
      </c>
      <c r="B35" t="s">
        <v>59</v>
      </c>
      <c r="C35" t="s">
        <v>60</v>
      </c>
      <c r="D35">
        <v>9716097028</v>
      </c>
      <c r="F35">
        <v>12219</v>
      </c>
      <c r="G35" t="s">
        <v>18</v>
      </c>
      <c r="H35" t="s">
        <v>37</v>
      </c>
      <c r="I35" s="5">
        <v>649</v>
      </c>
      <c r="J35" t="s">
        <v>113</v>
      </c>
      <c r="K35" t="s">
        <v>13</v>
      </c>
    </row>
    <row r="36" spans="1:11">
      <c r="A36" s="1">
        <v>46061</v>
      </c>
      <c r="B36" t="s">
        <v>778</v>
      </c>
      <c r="C36" t="s">
        <v>779</v>
      </c>
      <c r="D36">
        <v>7503973980</v>
      </c>
      <c r="F36">
        <v>100059</v>
      </c>
      <c r="G36" t="s">
        <v>13</v>
      </c>
      <c r="H36" t="s">
        <v>780</v>
      </c>
      <c r="I36" s="5">
        <v>4049</v>
      </c>
      <c r="J36" t="s">
        <v>113</v>
      </c>
      <c r="K36" t="s">
        <v>13</v>
      </c>
    </row>
    <row r="37" spans="1:11">
      <c r="A37" s="1">
        <v>46061</v>
      </c>
      <c r="B37" t="s">
        <v>781</v>
      </c>
      <c r="C37" t="s">
        <v>782</v>
      </c>
      <c r="D37">
        <v>9818970537</v>
      </c>
      <c r="F37">
        <v>19449</v>
      </c>
      <c r="G37" t="s">
        <v>13</v>
      </c>
      <c r="H37" t="s">
        <v>783</v>
      </c>
      <c r="I37" s="5">
        <f>400+500+850+550</f>
        <v>2300</v>
      </c>
      <c r="J37" t="s">
        <v>113</v>
      </c>
      <c r="K37" t="s">
        <v>13</v>
      </c>
    </row>
    <row r="38" spans="1:11">
      <c r="A38" s="1">
        <v>46062</v>
      </c>
      <c r="B38" t="s">
        <v>784</v>
      </c>
      <c r="C38" t="s">
        <v>786</v>
      </c>
      <c r="D38">
        <v>8700328151</v>
      </c>
      <c r="F38">
        <v>22844</v>
      </c>
      <c r="G38" t="s">
        <v>18</v>
      </c>
      <c r="H38" t="s">
        <v>785</v>
      </c>
      <c r="I38">
        <f>1075+614+75</f>
        <v>1764</v>
      </c>
      <c r="J38" t="s">
        <v>113</v>
      </c>
      <c r="K38" t="s">
        <v>13</v>
      </c>
    </row>
    <row r="39" spans="1:11">
      <c r="A39" s="1">
        <v>46064</v>
      </c>
      <c r="B39" t="s">
        <v>787</v>
      </c>
      <c r="C39" t="s">
        <v>788</v>
      </c>
      <c r="D39">
        <v>9910563734</v>
      </c>
      <c r="F39">
        <v>42821</v>
      </c>
      <c r="G39" t="s">
        <v>18</v>
      </c>
      <c r="H39" t="s">
        <v>789</v>
      </c>
      <c r="I39">
        <v>775</v>
      </c>
      <c r="J39" t="s">
        <v>798</v>
      </c>
      <c r="K39" t="s">
        <v>13</v>
      </c>
    </row>
    <row r="40" spans="1:11">
      <c r="A40" s="1">
        <v>46064</v>
      </c>
      <c r="B40" t="s">
        <v>246</v>
      </c>
      <c r="C40" t="s">
        <v>247</v>
      </c>
      <c r="D40">
        <v>9354371163</v>
      </c>
      <c r="F40">
        <v>49648</v>
      </c>
      <c r="G40" t="s">
        <v>18</v>
      </c>
      <c r="H40" t="s">
        <v>790</v>
      </c>
      <c r="I40">
        <f>1000+580+35</f>
        <v>1615</v>
      </c>
      <c r="J40" t="s">
        <v>799</v>
      </c>
      <c r="K40" t="s">
        <v>13</v>
      </c>
    </row>
    <row r="41" spans="1:11">
      <c r="A41" s="1">
        <v>46064</v>
      </c>
      <c r="B41" t="s">
        <v>272</v>
      </c>
      <c r="C41" t="s">
        <v>791</v>
      </c>
      <c r="D41">
        <v>9220494633</v>
      </c>
      <c r="F41">
        <v>32130</v>
      </c>
      <c r="G41" t="s">
        <v>18</v>
      </c>
      <c r="H41" t="s">
        <v>792</v>
      </c>
      <c r="I41">
        <v>4141</v>
      </c>
      <c r="J41" t="s">
        <v>113</v>
      </c>
      <c r="K41" t="s">
        <v>13</v>
      </c>
    </row>
    <row r="42" spans="1:11">
      <c r="A42" s="1">
        <v>46065</v>
      </c>
      <c r="B42" t="s">
        <v>793</v>
      </c>
      <c r="C42" t="s">
        <v>795</v>
      </c>
      <c r="D42">
        <v>9868846785</v>
      </c>
      <c r="F42">
        <v>29785</v>
      </c>
      <c r="G42" t="s">
        <v>18</v>
      </c>
      <c r="H42" t="s">
        <v>794</v>
      </c>
      <c r="I42">
        <v>9500</v>
      </c>
      <c r="J42" t="s">
        <v>797</v>
      </c>
      <c r="K42" t="s">
        <v>13</v>
      </c>
    </row>
    <row r="43" spans="1:11">
      <c r="A43" s="1">
        <v>46065</v>
      </c>
      <c r="B43" t="s">
        <v>796</v>
      </c>
      <c r="C43" t="s">
        <v>701</v>
      </c>
      <c r="D43">
        <v>9968928081</v>
      </c>
      <c r="F43">
        <v>33586</v>
      </c>
      <c r="G43" t="s">
        <v>18</v>
      </c>
      <c r="H43" t="s">
        <v>436</v>
      </c>
      <c r="I43">
        <v>1350</v>
      </c>
      <c r="J43" t="s">
        <v>126</v>
      </c>
      <c r="K43" t="s">
        <v>13</v>
      </c>
    </row>
    <row r="44" spans="1:11">
      <c r="A44" s="1">
        <v>46065</v>
      </c>
      <c r="H44" t="s">
        <v>800</v>
      </c>
      <c r="I44">
        <v>1075</v>
      </c>
      <c r="J44" t="s">
        <v>113</v>
      </c>
      <c r="K44" t="s">
        <v>13</v>
      </c>
    </row>
    <row r="45" spans="1:11">
      <c r="A45" s="1">
        <v>46066</v>
      </c>
      <c r="B45" t="s">
        <v>645</v>
      </c>
      <c r="C45" t="s">
        <v>541</v>
      </c>
      <c r="D45">
        <v>9310494099</v>
      </c>
      <c r="F45">
        <v>44552</v>
      </c>
      <c r="G45" t="s">
        <v>18</v>
      </c>
      <c r="H45" t="s">
        <v>37</v>
      </c>
      <c r="I45">
        <v>649</v>
      </c>
      <c r="J45" t="s">
        <v>113</v>
      </c>
      <c r="K45" t="s">
        <v>13</v>
      </c>
    </row>
    <row r="46" spans="1:11">
      <c r="A46" s="1">
        <v>46066</v>
      </c>
      <c r="B46" t="s">
        <v>801</v>
      </c>
      <c r="C46" t="s">
        <v>727</v>
      </c>
      <c r="D46">
        <v>9891807342</v>
      </c>
      <c r="F46">
        <v>76098</v>
      </c>
      <c r="G46" t="s">
        <v>18</v>
      </c>
      <c r="H46" t="s">
        <v>802</v>
      </c>
      <c r="I46">
        <v>10500</v>
      </c>
      <c r="J46" t="s">
        <v>229</v>
      </c>
      <c r="K46" t="s">
        <v>13</v>
      </c>
    </row>
    <row r="47" spans="1:11">
      <c r="A47" s="1">
        <v>46067</v>
      </c>
      <c r="B47" t="s">
        <v>803</v>
      </c>
      <c r="C47" t="s">
        <v>804</v>
      </c>
      <c r="D47">
        <v>9818688243</v>
      </c>
      <c r="F47">
        <v>28076</v>
      </c>
      <c r="G47" t="s">
        <v>13</v>
      </c>
      <c r="H47" t="s">
        <v>805</v>
      </c>
      <c r="I47">
        <v>1800</v>
      </c>
      <c r="J47" t="s">
        <v>113</v>
      </c>
      <c r="K47" t="s">
        <v>13</v>
      </c>
    </row>
    <row r="48" spans="1:11">
      <c r="A48" s="1">
        <v>46067</v>
      </c>
      <c r="B48" t="s">
        <v>654</v>
      </c>
      <c r="C48" t="s">
        <v>653</v>
      </c>
      <c r="D48">
        <v>9213120239</v>
      </c>
      <c r="F48">
        <v>27814</v>
      </c>
      <c r="G48" t="s">
        <v>18</v>
      </c>
      <c r="H48" t="s">
        <v>37</v>
      </c>
      <c r="I48">
        <v>649</v>
      </c>
      <c r="J48" t="s">
        <v>126</v>
      </c>
      <c r="K48" t="s">
        <v>13</v>
      </c>
    </row>
    <row r="49" spans="1:12">
      <c r="A49" s="1">
        <v>46067</v>
      </c>
      <c r="B49" t="s">
        <v>277</v>
      </c>
      <c r="C49" t="s">
        <v>278</v>
      </c>
      <c r="D49">
        <v>9911945054</v>
      </c>
      <c r="F49">
        <v>29987</v>
      </c>
      <c r="G49" t="s">
        <v>18</v>
      </c>
      <c r="H49" t="s">
        <v>806</v>
      </c>
      <c r="I49">
        <v>625</v>
      </c>
      <c r="J49" t="s">
        <v>126</v>
      </c>
      <c r="K49" t="s">
        <v>13</v>
      </c>
    </row>
    <row r="50" spans="1:12">
      <c r="A50" s="1">
        <v>46068</v>
      </c>
      <c r="B50" t="s">
        <v>807</v>
      </c>
      <c r="C50" t="s">
        <v>425</v>
      </c>
      <c r="D50">
        <v>8588950646</v>
      </c>
      <c r="F50">
        <v>22956</v>
      </c>
      <c r="G50" t="s">
        <v>18</v>
      </c>
      <c r="H50" t="s">
        <v>808</v>
      </c>
      <c r="I50">
        <v>13750</v>
      </c>
      <c r="J50" t="s">
        <v>113</v>
      </c>
      <c r="K50" t="s">
        <v>13</v>
      </c>
    </row>
    <row r="51" spans="1:12">
      <c r="A51" s="1">
        <v>46068</v>
      </c>
      <c r="B51" t="s">
        <v>289</v>
      </c>
      <c r="C51" t="s">
        <v>291</v>
      </c>
      <c r="D51">
        <v>9910350313</v>
      </c>
      <c r="F51">
        <v>16345</v>
      </c>
      <c r="G51" t="s">
        <v>13</v>
      </c>
      <c r="H51" t="s">
        <v>809</v>
      </c>
      <c r="I51">
        <v>500</v>
      </c>
      <c r="J51" t="s">
        <v>113</v>
      </c>
      <c r="K51" t="s">
        <v>13</v>
      </c>
    </row>
    <row r="52" spans="1:12">
      <c r="A52" s="1">
        <v>46068</v>
      </c>
      <c r="B52" t="s">
        <v>810</v>
      </c>
      <c r="C52" t="s">
        <v>811</v>
      </c>
      <c r="D52">
        <v>9650824247</v>
      </c>
      <c r="F52">
        <v>87000</v>
      </c>
      <c r="G52" t="s">
        <v>13</v>
      </c>
      <c r="H52" t="s">
        <v>812</v>
      </c>
      <c r="I52">
        <f>1800+850+70</f>
        <v>2720</v>
      </c>
      <c r="J52" t="s">
        <v>113</v>
      </c>
      <c r="K52" t="s">
        <v>13</v>
      </c>
    </row>
    <row r="53" spans="1:12">
      <c r="A53" s="1">
        <v>46068</v>
      </c>
      <c r="B53" t="s">
        <v>204</v>
      </c>
      <c r="C53" t="s">
        <v>814</v>
      </c>
      <c r="D53">
        <v>9899632483</v>
      </c>
      <c r="F53">
        <v>15537</v>
      </c>
      <c r="G53" t="s">
        <v>18</v>
      </c>
      <c r="H53" t="s">
        <v>813</v>
      </c>
      <c r="I53">
        <f>649+1007</f>
        <v>1656</v>
      </c>
      <c r="J53" t="s">
        <v>113</v>
      </c>
      <c r="K53" t="s">
        <v>13</v>
      </c>
    </row>
    <row r="54" spans="1:12">
      <c r="A54" s="1">
        <v>46068</v>
      </c>
      <c r="B54" t="s">
        <v>815</v>
      </c>
      <c r="C54" t="s">
        <v>706</v>
      </c>
      <c r="D54">
        <v>8448707890</v>
      </c>
      <c r="F54">
        <v>30078</v>
      </c>
      <c r="G54" t="s">
        <v>18</v>
      </c>
      <c r="H54" t="s">
        <v>37</v>
      </c>
      <c r="I54">
        <v>649</v>
      </c>
      <c r="J54" t="s">
        <v>113</v>
      </c>
      <c r="K54" t="s">
        <v>13</v>
      </c>
    </row>
    <row r="55" spans="1:12">
      <c r="A55" s="1">
        <v>46068</v>
      </c>
      <c r="B55" t="s">
        <v>622</v>
      </c>
      <c r="C55" t="s">
        <v>621</v>
      </c>
      <c r="D55">
        <v>9350381812</v>
      </c>
      <c r="F55">
        <v>59155</v>
      </c>
      <c r="G55" t="s">
        <v>13</v>
      </c>
      <c r="H55" t="s">
        <v>809</v>
      </c>
      <c r="I55">
        <v>500</v>
      </c>
      <c r="J55" t="s">
        <v>113</v>
      </c>
      <c r="K55" t="s">
        <v>13</v>
      </c>
    </row>
    <row r="56" spans="1:12">
      <c r="A56" s="1">
        <v>46068</v>
      </c>
      <c r="C56" t="s">
        <v>817</v>
      </c>
      <c r="D56">
        <v>9899191313</v>
      </c>
      <c r="E56" t="s">
        <v>816</v>
      </c>
      <c r="F56">
        <v>636</v>
      </c>
      <c r="G56" t="s">
        <v>18</v>
      </c>
      <c r="H56" t="s">
        <v>818</v>
      </c>
      <c r="I56">
        <v>1075</v>
      </c>
      <c r="J56" t="s">
        <v>113</v>
      </c>
      <c r="K56" t="s">
        <v>13</v>
      </c>
    </row>
    <row r="57" spans="1:12">
      <c r="A57" s="1">
        <v>46069</v>
      </c>
      <c r="B57" t="s">
        <v>820</v>
      </c>
      <c r="C57" t="s">
        <v>819</v>
      </c>
      <c r="F57">
        <v>32098</v>
      </c>
      <c r="G57" t="s">
        <v>18</v>
      </c>
      <c r="H57" t="s">
        <v>821</v>
      </c>
      <c r="I57">
        <v>2644</v>
      </c>
      <c r="J57" t="s">
        <v>113</v>
      </c>
      <c r="K57" t="s">
        <v>13</v>
      </c>
    </row>
    <row r="58" spans="1:12">
      <c r="A58" s="1">
        <v>46069</v>
      </c>
      <c r="B58" t="s">
        <v>349</v>
      </c>
      <c r="C58" t="s">
        <v>350</v>
      </c>
      <c r="D58">
        <v>8512880888</v>
      </c>
      <c r="F58">
        <v>23935</v>
      </c>
      <c r="G58" t="s">
        <v>18</v>
      </c>
      <c r="H58" t="s">
        <v>37</v>
      </c>
      <c r="I58">
        <v>700</v>
      </c>
      <c r="J58" t="s">
        <v>113</v>
      </c>
      <c r="K58" t="s">
        <v>13</v>
      </c>
    </row>
    <row r="59" spans="1:12">
      <c r="A59" s="1">
        <v>46071</v>
      </c>
      <c r="B59" t="s">
        <v>823</v>
      </c>
      <c r="C59" t="s">
        <v>822</v>
      </c>
      <c r="D59">
        <v>9560348935</v>
      </c>
      <c r="F59">
        <v>6074</v>
      </c>
      <c r="G59" t="s">
        <v>18</v>
      </c>
      <c r="H59" t="s">
        <v>37</v>
      </c>
      <c r="I59">
        <v>1325</v>
      </c>
      <c r="J59" t="s">
        <v>113</v>
      </c>
      <c r="K59" t="s">
        <v>13</v>
      </c>
    </row>
    <row r="60" spans="1:12">
      <c r="A60" s="1">
        <v>46071</v>
      </c>
      <c r="B60" t="s">
        <v>824</v>
      </c>
      <c r="C60" s="8" t="s">
        <v>825</v>
      </c>
      <c r="D60">
        <v>9555953211</v>
      </c>
      <c r="F60">
        <v>7214</v>
      </c>
      <c r="G60" t="s">
        <v>18</v>
      </c>
      <c r="H60" t="s">
        <v>37</v>
      </c>
      <c r="I60">
        <v>649</v>
      </c>
      <c r="J60" t="s">
        <v>113</v>
      </c>
      <c r="K60" t="s">
        <v>13</v>
      </c>
    </row>
    <row r="61" spans="1:12">
      <c r="A61" s="1">
        <v>46071</v>
      </c>
      <c r="B61" t="s">
        <v>280</v>
      </c>
      <c r="C61" t="s">
        <v>281</v>
      </c>
      <c r="D61">
        <v>9971717972</v>
      </c>
      <c r="F61">
        <v>44106</v>
      </c>
      <c r="G61" t="s">
        <v>18</v>
      </c>
      <c r="H61" t="s">
        <v>37</v>
      </c>
      <c r="I61">
        <v>649</v>
      </c>
      <c r="J61" t="s">
        <v>113</v>
      </c>
      <c r="K61" t="s">
        <v>13</v>
      </c>
    </row>
    <row r="62" spans="1:12">
      <c r="A62" s="1">
        <v>46072</v>
      </c>
      <c r="B62" t="s">
        <v>537</v>
      </c>
      <c r="C62" t="s">
        <v>539</v>
      </c>
      <c r="D62">
        <v>9871450303</v>
      </c>
      <c r="F62">
        <v>170161</v>
      </c>
      <c r="G62" t="s">
        <v>18</v>
      </c>
      <c r="H62" t="s">
        <v>826</v>
      </c>
      <c r="I62">
        <f>649+675+150</f>
        <v>1474</v>
      </c>
      <c r="J62" t="s">
        <v>113</v>
      </c>
      <c r="K62" t="s">
        <v>13</v>
      </c>
    </row>
    <row r="63" spans="1:12">
      <c r="A63" s="1">
        <v>46072</v>
      </c>
      <c r="B63" t="s">
        <v>828</v>
      </c>
      <c r="C63" t="s">
        <v>827</v>
      </c>
      <c r="D63">
        <v>8510006002</v>
      </c>
      <c r="F63">
        <v>10782</v>
      </c>
      <c r="G63" t="s">
        <v>18</v>
      </c>
      <c r="H63" t="s">
        <v>829</v>
      </c>
      <c r="I63">
        <v>649</v>
      </c>
      <c r="J63" t="s">
        <v>113</v>
      </c>
      <c r="K63" t="s">
        <v>13</v>
      </c>
    </row>
    <row r="64" spans="1:12">
      <c r="A64" s="1">
        <v>46072</v>
      </c>
      <c r="B64" t="s">
        <v>831</v>
      </c>
      <c r="C64" t="s">
        <v>830</v>
      </c>
      <c r="D64">
        <v>9958157361</v>
      </c>
      <c r="F64">
        <v>38644</v>
      </c>
      <c r="G64" t="s">
        <v>18</v>
      </c>
      <c r="H64" t="s">
        <v>832</v>
      </c>
      <c r="I64">
        <f>775+950+50</f>
        <v>1775</v>
      </c>
      <c r="J64" t="s">
        <v>113</v>
      </c>
      <c r="K64" t="s">
        <v>18</v>
      </c>
      <c r="L64" t="s">
        <v>18</v>
      </c>
    </row>
    <row r="65" spans="1:11">
      <c r="A65" s="1">
        <v>46073</v>
      </c>
      <c r="B65" t="s">
        <v>833</v>
      </c>
      <c r="C65" t="s">
        <v>834</v>
      </c>
      <c r="D65">
        <v>9149693838</v>
      </c>
      <c r="F65">
        <v>46347</v>
      </c>
      <c r="G65" t="s">
        <v>13</v>
      </c>
      <c r="H65" t="s">
        <v>724</v>
      </c>
      <c r="I65">
        <v>500</v>
      </c>
      <c r="J65" t="s">
        <v>113</v>
      </c>
      <c r="K65" t="s">
        <v>13</v>
      </c>
    </row>
    <row r="66" spans="1:11">
      <c r="A66" s="1">
        <v>46073</v>
      </c>
      <c r="B66" t="s">
        <v>262</v>
      </c>
      <c r="C66" t="s">
        <v>263</v>
      </c>
      <c r="D66">
        <v>7011967200</v>
      </c>
      <c r="F66">
        <v>32098</v>
      </c>
      <c r="G66" t="s">
        <v>13</v>
      </c>
      <c r="H66" t="s">
        <v>835</v>
      </c>
      <c r="I66">
        <v>350</v>
      </c>
      <c r="J66" t="s">
        <v>113</v>
      </c>
      <c r="K66" t="s">
        <v>13</v>
      </c>
    </row>
    <row r="67" spans="1:11">
      <c r="A67" s="1">
        <v>46073</v>
      </c>
      <c r="B67" t="s">
        <v>743</v>
      </c>
      <c r="C67" t="s">
        <v>744</v>
      </c>
      <c r="D67">
        <v>9953703088</v>
      </c>
      <c r="F67">
        <v>26192</v>
      </c>
      <c r="H67" t="s">
        <v>836</v>
      </c>
      <c r="I67">
        <v>900</v>
      </c>
      <c r="J67" t="s">
        <v>113</v>
      </c>
      <c r="K67" t="s">
        <v>13</v>
      </c>
    </row>
    <row r="68" spans="1:11">
      <c r="A68" s="1">
        <v>46074</v>
      </c>
      <c r="B68" t="s">
        <v>837</v>
      </c>
      <c r="C68" t="s">
        <v>838</v>
      </c>
      <c r="D68">
        <v>7503843408</v>
      </c>
      <c r="F68">
        <v>17156</v>
      </c>
      <c r="H68" t="s">
        <v>839</v>
      </c>
      <c r="I68">
        <v>800</v>
      </c>
      <c r="J68" t="s">
        <v>126</v>
      </c>
      <c r="K68" t="s">
        <v>13</v>
      </c>
    </row>
    <row r="69" spans="1:11">
      <c r="A69" s="1">
        <v>46074</v>
      </c>
      <c r="B69" t="s">
        <v>841</v>
      </c>
      <c r="C69" t="s">
        <v>840</v>
      </c>
      <c r="D69">
        <v>9560987364</v>
      </c>
      <c r="F69">
        <v>18312</v>
      </c>
      <c r="H69" t="s">
        <v>842</v>
      </c>
      <c r="I69">
        <v>1199</v>
      </c>
      <c r="J69" t="s">
        <v>113</v>
      </c>
      <c r="K69" t="s">
        <v>13</v>
      </c>
    </row>
    <row r="70" spans="1:11">
      <c r="A70" s="1">
        <v>46074</v>
      </c>
      <c r="B70" t="s">
        <v>844</v>
      </c>
      <c r="C70" t="s">
        <v>843</v>
      </c>
      <c r="D70">
        <v>9205166172</v>
      </c>
      <c r="F70">
        <v>7945</v>
      </c>
      <c r="H70" t="s">
        <v>37</v>
      </c>
      <c r="I70">
        <v>649</v>
      </c>
      <c r="J70" t="s">
        <v>113</v>
      </c>
      <c r="K70" t="s">
        <v>13</v>
      </c>
    </row>
    <row r="71" spans="1:11">
      <c r="A71" s="1">
        <v>46074</v>
      </c>
      <c r="B71" t="s">
        <v>56</v>
      </c>
      <c r="C71" t="s">
        <v>57</v>
      </c>
      <c r="D71">
        <v>9953695706</v>
      </c>
      <c r="F71">
        <v>86765</v>
      </c>
      <c r="H71" t="s">
        <v>845</v>
      </c>
      <c r="I71">
        <v>400</v>
      </c>
      <c r="J71" t="s">
        <v>113</v>
      </c>
      <c r="K71" t="s">
        <v>13</v>
      </c>
    </row>
    <row r="72" spans="1:11">
      <c r="A72" s="1">
        <v>46075</v>
      </c>
      <c r="B72" t="s">
        <v>769</v>
      </c>
      <c r="C72" t="s">
        <v>770</v>
      </c>
      <c r="D72">
        <v>9871475501</v>
      </c>
      <c r="F72">
        <v>87098</v>
      </c>
      <c r="H72" t="s">
        <v>846</v>
      </c>
      <c r="I72">
        <v>2500</v>
      </c>
      <c r="J72" t="s">
        <v>113</v>
      </c>
      <c r="K72" t="s">
        <v>13</v>
      </c>
    </row>
    <row r="73" spans="1:11">
      <c r="A73" s="1">
        <v>46075</v>
      </c>
      <c r="B73">
        <v>4840</v>
      </c>
      <c r="C73" t="s">
        <v>319</v>
      </c>
      <c r="D73">
        <v>8860095960</v>
      </c>
      <c r="H73" t="s">
        <v>847</v>
      </c>
      <c r="I73">
        <v>1000</v>
      </c>
      <c r="J73" t="s">
        <v>126</v>
      </c>
      <c r="K73" t="s">
        <v>13</v>
      </c>
    </row>
    <row r="74" spans="1:11">
      <c r="A74" s="1">
        <v>46075</v>
      </c>
      <c r="B74" s="8" t="s">
        <v>850</v>
      </c>
      <c r="C74" s="8" t="s">
        <v>849</v>
      </c>
      <c r="D74">
        <v>9013637615</v>
      </c>
      <c r="F74">
        <v>3287</v>
      </c>
      <c r="H74" t="s">
        <v>851</v>
      </c>
      <c r="I74">
        <v>3287</v>
      </c>
      <c r="J74" t="s">
        <v>113</v>
      </c>
      <c r="K74" t="s">
        <v>13</v>
      </c>
    </row>
    <row r="75" spans="1:11">
      <c r="A75" s="1">
        <v>46075</v>
      </c>
      <c r="B75" t="s">
        <v>637</v>
      </c>
      <c r="C75" t="s">
        <v>853</v>
      </c>
      <c r="H75" t="s">
        <v>852</v>
      </c>
      <c r="I75">
        <v>1900</v>
      </c>
      <c r="J75" t="s">
        <v>126</v>
      </c>
      <c r="K75" t="s">
        <v>13</v>
      </c>
    </row>
    <row r="76" spans="1:11">
      <c r="A76" s="1">
        <v>46075</v>
      </c>
      <c r="B76" t="s">
        <v>854</v>
      </c>
      <c r="C76" t="s">
        <v>855</v>
      </c>
      <c r="D76">
        <v>9015772313</v>
      </c>
      <c r="F76">
        <v>27654</v>
      </c>
      <c r="H76" t="s">
        <v>436</v>
      </c>
      <c r="I76">
        <v>1352</v>
      </c>
      <c r="J76" t="s">
        <v>856</v>
      </c>
      <c r="K76" t="s">
        <v>13</v>
      </c>
    </row>
    <row r="77" spans="1:11">
      <c r="A77" s="1">
        <v>46075</v>
      </c>
      <c r="B77" t="s">
        <v>833</v>
      </c>
      <c r="C77" t="s">
        <v>834</v>
      </c>
      <c r="D77">
        <v>9149693838</v>
      </c>
      <c r="F77">
        <v>46450</v>
      </c>
      <c r="H77" t="s">
        <v>846</v>
      </c>
      <c r="I77">
        <v>2200</v>
      </c>
      <c r="J77" t="s">
        <v>126</v>
      </c>
      <c r="K77" t="s">
        <v>13</v>
      </c>
    </row>
    <row r="78" spans="1:11">
      <c r="A78" s="1">
        <v>46076</v>
      </c>
      <c r="B78" t="s">
        <v>858</v>
      </c>
      <c r="C78" t="s">
        <v>857</v>
      </c>
      <c r="D78">
        <v>9818450928</v>
      </c>
      <c r="F78">
        <v>33833</v>
      </c>
      <c r="H78" t="s">
        <v>37</v>
      </c>
      <c r="I78">
        <v>649</v>
      </c>
      <c r="J78" t="s">
        <v>113</v>
      </c>
      <c r="K78" t="s">
        <v>13</v>
      </c>
    </row>
    <row r="79" spans="1:11">
      <c r="A79" s="1">
        <v>46076</v>
      </c>
      <c r="B79" t="s">
        <v>859</v>
      </c>
      <c r="C79" t="s">
        <v>861</v>
      </c>
      <c r="D79">
        <v>9650633556</v>
      </c>
      <c r="F79">
        <v>15777</v>
      </c>
      <c r="H79" t="s">
        <v>860</v>
      </c>
      <c r="I79">
        <v>1000</v>
      </c>
      <c r="J79" t="s">
        <v>113</v>
      </c>
      <c r="K79" t="s">
        <v>13</v>
      </c>
    </row>
    <row r="80" spans="1:11">
      <c r="A80" s="1">
        <v>46076</v>
      </c>
      <c r="B80" t="s">
        <v>932</v>
      </c>
      <c r="C80" t="s">
        <v>862</v>
      </c>
      <c r="D80">
        <v>9871824206</v>
      </c>
      <c r="F80">
        <v>16065</v>
      </c>
      <c r="H80" t="s">
        <v>863</v>
      </c>
      <c r="I80">
        <v>1650</v>
      </c>
      <c r="J80" t="s">
        <v>429</v>
      </c>
      <c r="K80" t="s">
        <v>13</v>
      </c>
    </row>
    <row r="81" spans="1:12">
      <c r="A81" s="1">
        <v>46078</v>
      </c>
      <c r="B81" t="s">
        <v>865</v>
      </c>
      <c r="C81" t="s">
        <v>866</v>
      </c>
      <c r="D81">
        <v>9015345171</v>
      </c>
      <c r="H81" t="s">
        <v>864</v>
      </c>
      <c r="I81">
        <v>4257</v>
      </c>
      <c r="J81" t="s">
        <v>113</v>
      </c>
      <c r="K81" t="s">
        <v>13</v>
      </c>
    </row>
    <row r="82" spans="1:12">
      <c r="A82" s="1">
        <v>46078</v>
      </c>
      <c r="B82" t="s">
        <v>867</v>
      </c>
      <c r="C82" t="s">
        <v>357</v>
      </c>
      <c r="D82">
        <v>9911335510</v>
      </c>
      <c r="F82">
        <v>105043</v>
      </c>
      <c r="H82" t="s">
        <v>122</v>
      </c>
      <c r="I82">
        <v>400</v>
      </c>
      <c r="J82" t="s">
        <v>113</v>
      </c>
      <c r="K82" t="s">
        <v>13</v>
      </c>
    </row>
    <row r="83" spans="1:12">
      <c r="A83" s="1">
        <v>46078</v>
      </c>
      <c r="B83" t="s">
        <v>781</v>
      </c>
      <c r="C83" t="s">
        <v>782</v>
      </c>
      <c r="D83">
        <v>9818970537</v>
      </c>
      <c r="F83">
        <v>19449</v>
      </c>
      <c r="H83" t="s">
        <v>868</v>
      </c>
      <c r="I83">
        <v>1000</v>
      </c>
      <c r="J83" t="s">
        <v>113</v>
      </c>
      <c r="K83" t="s">
        <v>13</v>
      </c>
    </row>
    <row r="84" spans="1:12">
      <c r="A84" s="1">
        <v>46078</v>
      </c>
      <c r="B84" t="s">
        <v>869</v>
      </c>
      <c r="C84" t="s">
        <v>870</v>
      </c>
      <c r="D84">
        <v>9079926467</v>
      </c>
      <c r="F84">
        <v>8453</v>
      </c>
      <c r="H84" t="s">
        <v>871</v>
      </c>
      <c r="I84">
        <v>1649</v>
      </c>
      <c r="J84" t="s">
        <v>113</v>
      </c>
      <c r="K84" t="s">
        <v>13</v>
      </c>
    </row>
    <row r="85" spans="1:12">
      <c r="A85" s="1">
        <v>46079</v>
      </c>
      <c r="B85" t="s">
        <v>867</v>
      </c>
      <c r="C85" t="s">
        <v>357</v>
      </c>
      <c r="D85">
        <v>9911335510</v>
      </c>
      <c r="F85">
        <v>105055</v>
      </c>
      <c r="H85" t="s">
        <v>872</v>
      </c>
      <c r="I85">
        <v>1050</v>
      </c>
      <c r="J85" t="s">
        <v>113</v>
      </c>
      <c r="K85" t="s">
        <v>13</v>
      </c>
    </row>
    <row r="86" spans="1:12">
      <c r="A86" s="1">
        <v>46079</v>
      </c>
      <c r="B86" t="s">
        <v>874</v>
      </c>
      <c r="C86" t="s">
        <v>873</v>
      </c>
      <c r="D86">
        <v>8826964418</v>
      </c>
      <c r="F86">
        <v>57890</v>
      </c>
      <c r="H86" t="s">
        <v>875</v>
      </c>
      <c r="I86">
        <v>3287</v>
      </c>
      <c r="J86" t="s">
        <v>113</v>
      </c>
      <c r="K86" t="s">
        <v>13</v>
      </c>
    </row>
    <row r="87" spans="1:12">
      <c r="A87" s="1">
        <v>46079</v>
      </c>
      <c r="B87" t="s">
        <v>877</v>
      </c>
      <c r="C87" t="s">
        <v>876</v>
      </c>
      <c r="D87">
        <v>8383066819</v>
      </c>
      <c r="F87">
        <v>43727</v>
      </c>
      <c r="H87" t="s">
        <v>37</v>
      </c>
      <c r="I87">
        <v>649</v>
      </c>
      <c r="J87" t="s">
        <v>113</v>
      </c>
      <c r="K87" t="s">
        <v>13</v>
      </c>
    </row>
    <row r="88" spans="1:12">
      <c r="A88" s="1">
        <v>46079</v>
      </c>
      <c r="B88" t="s">
        <v>722</v>
      </c>
      <c r="C88" t="s">
        <v>719</v>
      </c>
      <c r="D88">
        <v>8527594353</v>
      </c>
      <c r="F88">
        <v>41701</v>
      </c>
      <c r="H88" t="s">
        <v>734</v>
      </c>
      <c r="I88">
        <v>8172</v>
      </c>
      <c r="J88" t="s">
        <v>113</v>
      </c>
      <c r="K88" t="s">
        <v>13</v>
      </c>
    </row>
    <row r="89" spans="1:12">
      <c r="A89" s="1">
        <v>46079</v>
      </c>
      <c r="B89" t="s">
        <v>49</v>
      </c>
      <c r="C89" t="s">
        <v>50</v>
      </c>
      <c r="D89">
        <v>8743852746</v>
      </c>
      <c r="F89">
        <v>32874</v>
      </c>
      <c r="H89" t="s">
        <v>37</v>
      </c>
      <c r="I89">
        <v>649</v>
      </c>
      <c r="J89" t="s">
        <v>113</v>
      </c>
      <c r="K89" t="s">
        <v>13</v>
      </c>
    </row>
    <row r="90" spans="1:12">
      <c r="A90" s="1">
        <v>46079</v>
      </c>
      <c r="B90" t="s">
        <v>878</v>
      </c>
      <c r="C90" t="s">
        <v>879</v>
      </c>
      <c r="D90">
        <v>9728257335</v>
      </c>
      <c r="H90" t="s">
        <v>846</v>
      </c>
      <c r="I90">
        <v>2200</v>
      </c>
      <c r="J90" t="s">
        <v>126</v>
      </c>
      <c r="K90" t="s">
        <v>13</v>
      </c>
    </row>
    <row r="91" spans="1:12">
      <c r="A91" s="1">
        <v>46080</v>
      </c>
      <c r="B91" t="s">
        <v>880</v>
      </c>
      <c r="C91" t="s">
        <v>881</v>
      </c>
      <c r="D91">
        <v>7982699676</v>
      </c>
      <c r="H91" t="s">
        <v>846</v>
      </c>
      <c r="I91">
        <v>2500</v>
      </c>
      <c r="J91" t="s">
        <v>113</v>
      </c>
      <c r="K91" t="s">
        <v>13</v>
      </c>
    </row>
    <row r="92" spans="1:12">
      <c r="A92" s="1">
        <v>46080</v>
      </c>
      <c r="B92" t="s">
        <v>882</v>
      </c>
      <c r="C92" t="s">
        <v>883</v>
      </c>
      <c r="D92">
        <v>9818312578</v>
      </c>
      <c r="F92">
        <v>65846</v>
      </c>
      <c r="H92" t="s">
        <v>884</v>
      </c>
      <c r="I92">
        <f>1007+1000+400+350+649</f>
        <v>3406</v>
      </c>
      <c r="J92" t="s">
        <v>113</v>
      </c>
      <c r="K92" t="s">
        <v>18</v>
      </c>
      <c r="L92" t="s">
        <v>18</v>
      </c>
    </row>
    <row r="93" spans="1:12">
      <c r="A93" s="1">
        <v>46080</v>
      </c>
      <c r="B93" t="s">
        <v>885</v>
      </c>
      <c r="C93" t="s">
        <v>886</v>
      </c>
      <c r="D93">
        <v>9911197546</v>
      </c>
      <c r="F93">
        <v>10519</v>
      </c>
      <c r="H93" t="s">
        <v>887</v>
      </c>
      <c r="I93">
        <v>9200</v>
      </c>
      <c r="J93" t="s">
        <v>113</v>
      </c>
      <c r="K93" t="s">
        <v>13</v>
      </c>
    </row>
    <row r="94" spans="1:12">
      <c r="A94" s="1">
        <v>46081</v>
      </c>
      <c r="B94" t="s">
        <v>888</v>
      </c>
      <c r="C94" t="s">
        <v>889</v>
      </c>
      <c r="D94">
        <v>9212359212</v>
      </c>
      <c r="F94">
        <v>6986</v>
      </c>
      <c r="H94" t="s">
        <v>806</v>
      </c>
      <c r="I94">
        <v>625</v>
      </c>
      <c r="J94" t="s">
        <v>113</v>
      </c>
      <c r="K94" t="s">
        <v>13</v>
      </c>
    </row>
    <row r="95" spans="1:12">
      <c r="A95" s="1">
        <v>46081</v>
      </c>
      <c r="B95" t="s">
        <v>176</v>
      </c>
      <c r="C95" t="s">
        <v>177</v>
      </c>
      <c r="D95">
        <v>9811146971</v>
      </c>
      <c r="F95">
        <v>32112</v>
      </c>
      <c r="H95" t="s">
        <v>151</v>
      </c>
      <c r="I95">
        <v>750</v>
      </c>
      <c r="J95" t="s">
        <v>113</v>
      </c>
      <c r="K95" t="s">
        <v>13</v>
      </c>
    </row>
    <row r="96" spans="1:12">
      <c r="A96" s="1">
        <v>46081</v>
      </c>
      <c r="B96" t="s">
        <v>848</v>
      </c>
      <c r="C96" t="s">
        <v>154</v>
      </c>
      <c r="D96">
        <v>9528530686</v>
      </c>
      <c r="F96">
        <v>25000</v>
      </c>
      <c r="H96" t="s">
        <v>1064</v>
      </c>
      <c r="I96">
        <v>6200</v>
      </c>
      <c r="J96" t="s">
        <v>113</v>
      </c>
      <c r="K96" t="s">
        <v>13</v>
      </c>
    </row>
    <row r="97" spans="1:12">
      <c r="A97" s="1">
        <v>46081</v>
      </c>
      <c r="B97" t="s">
        <v>890</v>
      </c>
      <c r="C97" t="s">
        <v>891</v>
      </c>
      <c r="D97">
        <v>9899884051</v>
      </c>
      <c r="H97" t="s">
        <v>875</v>
      </c>
      <c r="I97">
        <v>3287</v>
      </c>
      <c r="J97" t="s">
        <v>113</v>
      </c>
      <c r="K97" t="s">
        <v>13</v>
      </c>
    </row>
    <row r="98" spans="1:12">
      <c r="A98" s="1">
        <v>46081</v>
      </c>
      <c r="B98" t="s">
        <v>892</v>
      </c>
      <c r="C98" t="s">
        <v>357</v>
      </c>
      <c r="D98">
        <v>9871648488</v>
      </c>
      <c r="H98" t="s">
        <v>309</v>
      </c>
      <c r="I98">
        <v>1007</v>
      </c>
      <c r="J98" t="s">
        <v>113</v>
      </c>
      <c r="K98" t="s">
        <v>18</v>
      </c>
      <c r="L98" t="s">
        <v>18</v>
      </c>
    </row>
  </sheetData>
  <autoFilter ref="A2:L98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48576"/>
  <sheetViews>
    <sheetView topLeftCell="A43" workbookViewId="0">
      <selection activeCell="F54" sqref="F54"/>
    </sheetView>
  </sheetViews>
  <sheetFormatPr defaultRowHeight="15"/>
  <cols>
    <col min="1" max="1" width="11.85546875" bestFit="1" customWidth="1"/>
    <col min="2" max="2" width="12.85546875" customWidth="1"/>
    <col min="3" max="3" width="24.85546875" bestFit="1" customWidth="1"/>
    <col min="4" max="4" width="11.85546875" customWidth="1"/>
    <col min="5" max="5" width="20" bestFit="1" customWidth="1"/>
    <col min="8" max="8" width="80.7109375" bestFit="1" customWidth="1"/>
    <col min="10" max="10" width="18.5703125" bestFit="1" customWidth="1"/>
    <col min="11" max="11" width="16.5703125" bestFit="1" customWidth="1"/>
    <col min="12" max="12" width="15" bestFit="1" customWidth="1"/>
  </cols>
  <sheetData>
    <row r="2" spans="1:12">
      <c r="A2" t="s">
        <v>24</v>
      </c>
      <c r="B2" t="s">
        <v>0</v>
      </c>
      <c r="C2" t="s">
        <v>1</v>
      </c>
      <c r="D2" t="s">
        <v>2</v>
      </c>
      <c r="E2" t="s">
        <v>3</v>
      </c>
      <c r="F2" t="s">
        <v>112</v>
      </c>
      <c r="G2" t="s">
        <v>5</v>
      </c>
      <c r="H2" t="s">
        <v>4</v>
      </c>
      <c r="I2" t="s">
        <v>6</v>
      </c>
      <c r="J2" t="s">
        <v>10</v>
      </c>
      <c r="K2" t="s">
        <v>12</v>
      </c>
      <c r="L2" t="s">
        <v>14</v>
      </c>
    </row>
    <row r="3" spans="1:12">
      <c r="A3" s="16">
        <v>46082</v>
      </c>
      <c r="B3" t="s">
        <v>685</v>
      </c>
      <c r="C3" t="s">
        <v>893</v>
      </c>
      <c r="D3">
        <v>9899365251</v>
      </c>
      <c r="F3">
        <v>28367</v>
      </c>
      <c r="G3" t="s">
        <v>18</v>
      </c>
      <c r="H3" t="s">
        <v>520</v>
      </c>
      <c r="I3">
        <v>625</v>
      </c>
      <c r="J3" t="s">
        <v>113</v>
      </c>
      <c r="K3" t="s">
        <v>13</v>
      </c>
      <c r="L3" t="s">
        <v>13</v>
      </c>
    </row>
    <row r="4" spans="1:12">
      <c r="A4" s="16">
        <v>46082</v>
      </c>
      <c r="B4" t="s">
        <v>300</v>
      </c>
      <c r="C4" t="s">
        <v>301</v>
      </c>
      <c r="D4">
        <v>9958880703</v>
      </c>
      <c r="F4">
        <v>64574</v>
      </c>
      <c r="G4" t="s">
        <v>13</v>
      </c>
      <c r="H4" t="s">
        <v>894</v>
      </c>
      <c r="I4">
        <f>1657+1000+50+775</f>
        <v>3482</v>
      </c>
      <c r="J4" t="s">
        <v>113</v>
      </c>
      <c r="K4" t="s">
        <v>13</v>
      </c>
      <c r="L4" t="s">
        <v>13</v>
      </c>
    </row>
    <row r="5" spans="1:12">
      <c r="A5" s="16">
        <v>46082</v>
      </c>
      <c r="B5" t="s">
        <v>895</v>
      </c>
      <c r="C5" t="s">
        <v>896</v>
      </c>
      <c r="D5">
        <v>9529581608</v>
      </c>
      <c r="F5">
        <v>14457</v>
      </c>
      <c r="G5" t="s">
        <v>18</v>
      </c>
      <c r="H5" t="s">
        <v>37</v>
      </c>
      <c r="I5">
        <v>649</v>
      </c>
      <c r="J5" t="s">
        <v>113</v>
      </c>
      <c r="K5" t="s">
        <v>13</v>
      </c>
      <c r="L5" t="s">
        <v>13</v>
      </c>
    </row>
    <row r="6" spans="1:12">
      <c r="A6" s="16">
        <v>46082</v>
      </c>
      <c r="B6" t="s">
        <v>898</v>
      </c>
      <c r="C6" t="s">
        <v>897</v>
      </c>
      <c r="D6">
        <v>9871608924</v>
      </c>
      <c r="F6">
        <v>12616</v>
      </c>
      <c r="G6" t="s">
        <v>18</v>
      </c>
      <c r="H6" t="s">
        <v>899</v>
      </c>
      <c r="I6">
        <v>700</v>
      </c>
      <c r="J6" t="s">
        <v>113</v>
      </c>
      <c r="K6" t="s">
        <v>13</v>
      </c>
      <c r="L6" t="s">
        <v>13</v>
      </c>
    </row>
    <row r="7" spans="1:12">
      <c r="A7" s="16">
        <v>46082</v>
      </c>
      <c r="B7" t="s">
        <v>900</v>
      </c>
      <c r="C7" t="s">
        <v>168</v>
      </c>
      <c r="D7">
        <v>9306762301</v>
      </c>
      <c r="F7">
        <v>43453</v>
      </c>
      <c r="G7" t="s">
        <v>18</v>
      </c>
      <c r="H7" t="s">
        <v>901</v>
      </c>
      <c r="I7">
        <v>4260</v>
      </c>
      <c r="J7" t="s">
        <v>113</v>
      </c>
      <c r="K7" t="s">
        <v>18</v>
      </c>
      <c r="L7" t="s">
        <v>18</v>
      </c>
    </row>
    <row r="8" spans="1:12">
      <c r="A8" s="16">
        <v>46082</v>
      </c>
      <c r="B8" t="s">
        <v>902</v>
      </c>
      <c r="C8" t="s">
        <v>903</v>
      </c>
      <c r="D8">
        <v>8383892937</v>
      </c>
      <c r="F8">
        <v>60000</v>
      </c>
      <c r="G8" t="s">
        <v>18</v>
      </c>
      <c r="H8" t="s">
        <v>875</v>
      </c>
      <c r="I8">
        <v>3287</v>
      </c>
      <c r="J8" t="s">
        <v>113</v>
      </c>
      <c r="K8" t="s">
        <v>13</v>
      </c>
      <c r="L8" t="s">
        <v>13</v>
      </c>
    </row>
    <row r="9" spans="1:12">
      <c r="A9" s="16">
        <v>46082</v>
      </c>
      <c r="B9" t="s">
        <v>904</v>
      </c>
      <c r="G9" t="s">
        <v>13</v>
      </c>
      <c r="H9" t="s">
        <v>908</v>
      </c>
      <c r="I9">
        <v>1300</v>
      </c>
      <c r="J9" t="s">
        <v>113</v>
      </c>
      <c r="K9" t="s">
        <v>13</v>
      </c>
      <c r="L9" t="s">
        <v>13</v>
      </c>
    </row>
    <row r="10" spans="1:12">
      <c r="A10" s="16">
        <v>46082</v>
      </c>
      <c r="B10" t="s">
        <v>905</v>
      </c>
      <c r="C10" t="s">
        <v>906</v>
      </c>
      <c r="D10">
        <v>9990486694</v>
      </c>
      <c r="F10">
        <v>21663</v>
      </c>
      <c r="G10" t="s">
        <v>18</v>
      </c>
      <c r="H10" t="s">
        <v>907</v>
      </c>
      <c r="I10">
        <v>5802</v>
      </c>
      <c r="J10" t="s">
        <v>113</v>
      </c>
      <c r="K10" t="s">
        <v>18</v>
      </c>
      <c r="L10" t="s">
        <v>18</v>
      </c>
    </row>
    <row r="11" spans="1:12">
      <c r="A11" s="16">
        <v>46082</v>
      </c>
      <c r="B11" t="s">
        <v>86</v>
      </c>
      <c r="C11" t="s">
        <v>909</v>
      </c>
      <c r="D11">
        <v>9250024470</v>
      </c>
      <c r="F11">
        <v>46312</v>
      </c>
      <c r="G11" t="s">
        <v>13</v>
      </c>
      <c r="H11" t="s">
        <v>887</v>
      </c>
      <c r="I11">
        <v>9000</v>
      </c>
      <c r="J11" t="s">
        <v>113</v>
      </c>
      <c r="K11" t="s">
        <v>13</v>
      </c>
      <c r="L11" t="s">
        <v>13</v>
      </c>
    </row>
    <row r="12" spans="1:12">
      <c r="A12" s="16">
        <v>46082</v>
      </c>
      <c r="B12" t="s">
        <v>619</v>
      </c>
      <c r="C12" t="s">
        <v>140</v>
      </c>
      <c r="D12">
        <v>9716188360</v>
      </c>
      <c r="F12">
        <v>33275</v>
      </c>
      <c r="G12" t="s">
        <v>13</v>
      </c>
      <c r="H12" t="s">
        <v>580</v>
      </c>
      <c r="I12">
        <v>1352</v>
      </c>
      <c r="J12" t="s">
        <v>113</v>
      </c>
      <c r="K12" t="s">
        <v>13</v>
      </c>
      <c r="L12" t="s">
        <v>13</v>
      </c>
    </row>
    <row r="13" spans="1:12">
      <c r="A13" s="16">
        <v>46082</v>
      </c>
      <c r="B13" t="s">
        <v>372</v>
      </c>
      <c r="C13" t="s">
        <v>220</v>
      </c>
      <c r="D13" s="8" t="s">
        <v>911</v>
      </c>
      <c r="E13" t="s">
        <v>910</v>
      </c>
      <c r="F13">
        <v>12976</v>
      </c>
      <c r="G13" t="s">
        <v>18</v>
      </c>
      <c r="H13" t="s">
        <v>912</v>
      </c>
      <c r="I13">
        <v>2400</v>
      </c>
      <c r="J13" t="s">
        <v>429</v>
      </c>
      <c r="K13" t="s">
        <v>18</v>
      </c>
      <c r="L13" t="s">
        <v>18</v>
      </c>
    </row>
    <row r="14" spans="1:12">
      <c r="A14" s="16">
        <v>46083</v>
      </c>
      <c r="B14" t="s">
        <v>913</v>
      </c>
      <c r="C14" t="s">
        <v>915</v>
      </c>
      <c r="D14">
        <v>9871393602</v>
      </c>
      <c r="F14">
        <v>30229</v>
      </c>
      <c r="G14" t="s">
        <v>13</v>
      </c>
      <c r="H14" t="s">
        <v>914</v>
      </c>
      <c r="I14">
        <v>850</v>
      </c>
      <c r="J14" t="s">
        <v>113</v>
      </c>
      <c r="K14" t="s">
        <v>13</v>
      </c>
      <c r="L14" t="s">
        <v>13</v>
      </c>
    </row>
    <row r="15" spans="1:12">
      <c r="A15" s="16">
        <v>46083</v>
      </c>
      <c r="B15" t="s">
        <v>916</v>
      </c>
      <c r="C15" t="s">
        <v>639</v>
      </c>
      <c r="D15">
        <v>9350140198</v>
      </c>
      <c r="F15">
        <v>20290</v>
      </c>
      <c r="G15" t="s">
        <v>13</v>
      </c>
      <c r="H15" t="s">
        <v>41</v>
      </c>
      <c r="I15">
        <v>1007</v>
      </c>
      <c r="J15" t="s">
        <v>113</v>
      </c>
      <c r="K15" t="s">
        <v>18</v>
      </c>
      <c r="L15" t="s">
        <v>18</v>
      </c>
    </row>
    <row r="16" spans="1:12">
      <c r="A16" s="16">
        <v>46083</v>
      </c>
      <c r="B16" t="s">
        <v>918</v>
      </c>
      <c r="C16" t="s">
        <v>917</v>
      </c>
      <c r="D16">
        <v>9650204941</v>
      </c>
      <c r="F16">
        <v>49729</v>
      </c>
      <c r="G16" t="s">
        <v>18</v>
      </c>
      <c r="H16" t="s">
        <v>422</v>
      </c>
      <c r="I16">
        <v>4887</v>
      </c>
      <c r="J16" t="s">
        <v>113</v>
      </c>
      <c r="K16" t="s">
        <v>13</v>
      </c>
      <c r="L16" t="s">
        <v>13</v>
      </c>
    </row>
    <row r="17" spans="1:12">
      <c r="A17" s="16">
        <v>46083</v>
      </c>
      <c r="B17" t="s">
        <v>919</v>
      </c>
      <c r="C17" t="s">
        <v>921</v>
      </c>
      <c r="D17">
        <v>7011569207</v>
      </c>
      <c r="F17">
        <v>17863</v>
      </c>
      <c r="G17" t="s">
        <v>13</v>
      </c>
      <c r="H17" t="s">
        <v>920</v>
      </c>
      <c r="I17">
        <v>2400</v>
      </c>
      <c r="J17" t="s">
        <v>922</v>
      </c>
      <c r="K17" t="s">
        <v>18</v>
      </c>
      <c r="L17" t="s">
        <v>18</v>
      </c>
    </row>
    <row r="18" spans="1:12">
      <c r="A18" s="16">
        <v>46083</v>
      </c>
      <c r="B18" t="s">
        <v>277</v>
      </c>
      <c r="C18" t="s">
        <v>278</v>
      </c>
      <c r="D18">
        <v>9911945054</v>
      </c>
      <c r="F18">
        <v>30340</v>
      </c>
      <c r="G18" t="s">
        <v>18</v>
      </c>
      <c r="H18" t="s">
        <v>923</v>
      </c>
      <c r="I18">
        <v>1070</v>
      </c>
      <c r="J18" t="s">
        <v>126</v>
      </c>
      <c r="K18" t="s">
        <v>13</v>
      </c>
      <c r="L18" t="s">
        <v>13</v>
      </c>
    </row>
    <row r="19" spans="1:12">
      <c r="A19" s="16">
        <v>46084</v>
      </c>
      <c r="B19" t="s">
        <v>890</v>
      </c>
      <c r="C19" t="s">
        <v>924</v>
      </c>
      <c r="D19">
        <v>9899884051</v>
      </c>
      <c r="F19">
        <v>94696</v>
      </c>
      <c r="G19" t="s">
        <v>13</v>
      </c>
      <c r="H19" t="s">
        <v>925</v>
      </c>
      <c r="I19">
        <v>1695</v>
      </c>
      <c r="J19" t="s">
        <v>113</v>
      </c>
      <c r="K19" t="s">
        <v>13</v>
      </c>
      <c r="L19" t="s">
        <v>13</v>
      </c>
    </row>
    <row r="20" spans="1:12">
      <c r="A20" s="16">
        <v>46084</v>
      </c>
      <c r="B20" s="16" t="s">
        <v>926</v>
      </c>
      <c r="C20" t="s">
        <v>544</v>
      </c>
      <c r="D20">
        <v>8826223133</v>
      </c>
      <c r="F20">
        <v>49360</v>
      </c>
      <c r="G20" t="s">
        <v>13</v>
      </c>
      <c r="H20" t="s">
        <v>422</v>
      </c>
      <c r="I20">
        <v>4887</v>
      </c>
      <c r="J20" t="s">
        <v>113</v>
      </c>
      <c r="K20" t="s">
        <v>13</v>
      </c>
      <c r="L20" t="s">
        <v>13</v>
      </c>
    </row>
    <row r="21" spans="1:12">
      <c r="A21" s="16">
        <v>46086</v>
      </c>
      <c r="B21" t="s">
        <v>927</v>
      </c>
      <c r="C21" t="s">
        <v>928</v>
      </c>
      <c r="D21">
        <v>9315767041</v>
      </c>
      <c r="F21">
        <v>85098</v>
      </c>
      <c r="G21" t="s">
        <v>13</v>
      </c>
      <c r="H21" t="s">
        <v>929</v>
      </c>
      <c r="I21">
        <v>4820</v>
      </c>
      <c r="J21" t="s">
        <v>113</v>
      </c>
      <c r="K21" t="s">
        <v>13</v>
      </c>
      <c r="L21" t="s">
        <v>13</v>
      </c>
    </row>
    <row r="22" spans="1:12">
      <c r="A22" s="16">
        <v>46086</v>
      </c>
      <c r="B22" t="s">
        <v>272</v>
      </c>
      <c r="C22" t="s">
        <v>791</v>
      </c>
      <c r="D22">
        <v>9220494633</v>
      </c>
      <c r="F22">
        <v>32200</v>
      </c>
      <c r="G22" t="s">
        <v>18</v>
      </c>
      <c r="H22" t="s">
        <v>930</v>
      </c>
      <c r="I22">
        <f>625+500</f>
        <v>1125</v>
      </c>
      <c r="J22" t="s">
        <v>113</v>
      </c>
      <c r="K22" t="s">
        <v>13</v>
      </c>
      <c r="L22" t="s">
        <v>13</v>
      </c>
    </row>
    <row r="23" spans="1:12">
      <c r="A23" s="16">
        <v>46086</v>
      </c>
      <c r="B23" t="s">
        <v>562</v>
      </c>
      <c r="C23" t="s">
        <v>564</v>
      </c>
      <c r="D23">
        <v>9311666334</v>
      </c>
      <c r="F23">
        <v>22691</v>
      </c>
      <c r="G23" t="s">
        <v>18</v>
      </c>
      <c r="H23" t="s">
        <v>931</v>
      </c>
      <c r="I23">
        <v>750</v>
      </c>
      <c r="J23" t="s">
        <v>113</v>
      </c>
      <c r="K23" t="s">
        <v>13</v>
      </c>
      <c r="L23" t="s">
        <v>13</v>
      </c>
    </row>
    <row r="24" spans="1:12">
      <c r="A24" s="16">
        <v>46086</v>
      </c>
      <c r="B24" t="s">
        <v>935</v>
      </c>
      <c r="C24" t="s">
        <v>933</v>
      </c>
      <c r="D24">
        <v>9818083724</v>
      </c>
      <c r="F24">
        <v>6271</v>
      </c>
      <c r="G24" t="s">
        <v>13</v>
      </c>
      <c r="H24" t="s">
        <v>934</v>
      </c>
      <c r="I24">
        <v>650</v>
      </c>
      <c r="J24" t="s">
        <v>113</v>
      </c>
      <c r="K24" t="s">
        <v>13</v>
      </c>
      <c r="L24" t="s">
        <v>13</v>
      </c>
    </row>
    <row r="25" spans="1:12">
      <c r="A25" s="16">
        <v>46087</v>
      </c>
      <c r="B25" t="s">
        <v>34</v>
      </c>
      <c r="C25" t="s">
        <v>36</v>
      </c>
      <c r="D25">
        <v>9718383909</v>
      </c>
      <c r="F25">
        <v>36064</v>
      </c>
      <c r="G25" t="s">
        <v>18</v>
      </c>
      <c r="H25" t="s">
        <v>37</v>
      </c>
      <c r="I25">
        <v>649</v>
      </c>
      <c r="J25" t="s">
        <v>113</v>
      </c>
      <c r="K25" t="s">
        <v>13</v>
      </c>
      <c r="L25" t="s">
        <v>13</v>
      </c>
    </row>
    <row r="26" spans="1:12">
      <c r="A26" s="16">
        <v>46087</v>
      </c>
      <c r="B26" s="16" t="s">
        <v>926</v>
      </c>
      <c r="C26" t="s">
        <v>544</v>
      </c>
      <c r="D26">
        <v>8826223133</v>
      </c>
      <c r="F26">
        <v>49393</v>
      </c>
      <c r="G26" t="s">
        <v>18</v>
      </c>
      <c r="H26" t="s">
        <v>37</v>
      </c>
      <c r="I26">
        <v>649</v>
      </c>
      <c r="J26" t="s">
        <v>113</v>
      </c>
      <c r="K26" t="s">
        <v>13</v>
      </c>
      <c r="L26" t="s">
        <v>13</v>
      </c>
    </row>
    <row r="27" spans="1:12">
      <c r="A27" s="16">
        <v>46087</v>
      </c>
      <c r="B27" t="s">
        <v>64</v>
      </c>
      <c r="C27" t="s">
        <v>936</v>
      </c>
      <c r="D27">
        <v>7404329866</v>
      </c>
      <c r="F27">
        <v>17899</v>
      </c>
      <c r="G27" t="s">
        <v>18</v>
      </c>
      <c r="H27" t="s">
        <v>937</v>
      </c>
      <c r="I27">
        <v>649</v>
      </c>
      <c r="J27" t="s">
        <v>113</v>
      </c>
      <c r="K27" t="s">
        <v>13</v>
      </c>
      <c r="L27" t="s">
        <v>13</v>
      </c>
    </row>
    <row r="28" spans="1:12">
      <c r="A28" s="16">
        <v>46087</v>
      </c>
      <c r="B28" t="s">
        <v>939</v>
      </c>
      <c r="C28" t="s">
        <v>938</v>
      </c>
      <c r="D28">
        <v>9717512526</v>
      </c>
      <c r="F28">
        <v>19200</v>
      </c>
      <c r="G28" t="s">
        <v>18</v>
      </c>
      <c r="H28" t="s">
        <v>216</v>
      </c>
      <c r="I28">
        <v>2000</v>
      </c>
      <c r="J28" t="s">
        <v>126</v>
      </c>
      <c r="K28" t="s">
        <v>13</v>
      </c>
      <c r="L28" t="s">
        <v>13</v>
      </c>
    </row>
    <row r="29" spans="1:12">
      <c r="A29" s="16">
        <v>46087</v>
      </c>
      <c r="B29" t="s">
        <v>315</v>
      </c>
      <c r="D29">
        <v>9868756943</v>
      </c>
      <c r="F29">
        <v>16020</v>
      </c>
      <c r="G29" t="s">
        <v>18</v>
      </c>
      <c r="H29" t="s">
        <v>940</v>
      </c>
      <c r="I29">
        <v>1429</v>
      </c>
      <c r="J29" t="s">
        <v>113</v>
      </c>
      <c r="K29" t="s">
        <v>13</v>
      </c>
      <c r="L29" t="s">
        <v>13</v>
      </c>
    </row>
    <row r="30" spans="1:12">
      <c r="A30" s="16">
        <v>46088</v>
      </c>
      <c r="B30" s="16" t="s">
        <v>942</v>
      </c>
      <c r="C30" s="16" t="s">
        <v>941</v>
      </c>
      <c r="D30">
        <v>8876339217</v>
      </c>
      <c r="F30">
        <v>47097</v>
      </c>
      <c r="G30" t="s">
        <v>18</v>
      </c>
      <c r="H30" t="s">
        <v>943</v>
      </c>
      <c r="I30">
        <v>6146</v>
      </c>
      <c r="J30" t="s">
        <v>229</v>
      </c>
      <c r="K30" t="s">
        <v>13</v>
      </c>
      <c r="L30" t="s">
        <v>13</v>
      </c>
    </row>
    <row r="31" spans="1:12">
      <c r="A31" s="16">
        <v>46088</v>
      </c>
      <c r="B31" t="s">
        <v>945</v>
      </c>
      <c r="C31" t="s">
        <v>944</v>
      </c>
      <c r="D31">
        <v>8447566765</v>
      </c>
      <c r="F31">
        <v>6015</v>
      </c>
      <c r="G31" t="s">
        <v>18</v>
      </c>
      <c r="H31" t="s">
        <v>465</v>
      </c>
      <c r="I31">
        <v>767</v>
      </c>
      <c r="J31" t="s">
        <v>113</v>
      </c>
      <c r="K31" t="s">
        <v>13</v>
      </c>
      <c r="L31" t="s">
        <v>13</v>
      </c>
    </row>
    <row r="32" spans="1:12">
      <c r="A32" s="16">
        <v>46088</v>
      </c>
      <c r="B32" t="s">
        <v>946</v>
      </c>
      <c r="C32" t="s">
        <v>947</v>
      </c>
      <c r="D32">
        <v>9805628193</v>
      </c>
      <c r="F32">
        <v>28500</v>
      </c>
      <c r="G32" t="s">
        <v>18</v>
      </c>
      <c r="H32" t="s">
        <v>948</v>
      </c>
      <c r="I32">
        <v>7415</v>
      </c>
      <c r="J32" t="s">
        <v>113</v>
      </c>
      <c r="K32" t="s">
        <v>13</v>
      </c>
      <c r="L32" t="s">
        <v>13</v>
      </c>
    </row>
    <row r="33" spans="1:12">
      <c r="A33" s="16">
        <v>46088</v>
      </c>
      <c r="B33" t="s">
        <v>949</v>
      </c>
      <c r="C33" t="s">
        <v>950</v>
      </c>
      <c r="D33">
        <v>9958256602</v>
      </c>
      <c r="F33">
        <v>29042</v>
      </c>
      <c r="G33" t="s">
        <v>18</v>
      </c>
      <c r="H33" t="s">
        <v>951</v>
      </c>
      <c r="I33">
        <v>649</v>
      </c>
      <c r="J33" t="s">
        <v>113</v>
      </c>
      <c r="K33" t="s">
        <v>13</v>
      </c>
      <c r="L33" t="s">
        <v>13</v>
      </c>
    </row>
    <row r="34" spans="1:12">
      <c r="A34" s="16">
        <v>46088</v>
      </c>
      <c r="B34" t="s">
        <v>738</v>
      </c>
      <c r="C34" t="s">
        <v>119</v>
      </c>
      <c r="D34">
        <v>9266390150</v>
      </c>
      <c r="F34">
        <v>71646</v>
      </c>
      <c r="G34" t="s">
        <v>13</v>
      </c>
      <c r="H34" t="s">
        <v>952</v>
      </c>
      <c r="I34">
        <v>1400</v>
      </c>
      <c r="J34" t="s">
        <v>113</v>
      </c>
      <c r="K34" t="s">
        <v>13</v>
      </c>
      <c r="L34" t="s">
        <v>13</v>
      </c>
    </row>
    <row r="35" spans="1:12">
      <c r="A35" s="16">
        <v>46089</v>
      </c>
      <c r="B35" t="s">
        <v>953</v>
      </c>
      <c r="C35" t="s">
        <v>954</v>
      </c>
      <c r="D35">
        <v>9289012540</v>
      </c>
      <c r="F35">
        <v>15994</v>
      </c>
      <c r="G35" t="s">
        <v>18</v>
      </c>
      <c r="H35" t="s">
        <v>955</v>
      </c>
      <c r="I35" s="17">
        <f>649+624</f>
        <v>1273</v>
      </c>
      <c r="J35" t="s">
        <v>113</v>
      </c>
      <c r="K35" t="s">
        <v>13</v>
      </c>
      <c r="L35" t="s">
        <v>13</v>
      </c>
    </row>
    <row r="36" spans="1:12">
      <c r="A36" s="16">
        <v>46089</v>
      </c>
      <c r="B36" t="s">
        <v>94</v>
      </c>
      <c r="C36" t="s">
        <v>956</v>
      </c>
      <c r="D36">
        <v>9953898579</v>
      </c>
      <c r="F36">
        <v>21673</v>
      </c>
      <c r="G36" t="s">
        <v>18</v>
      </c>
      <c r="H36" t="s">
        <v>37</v>
      </c>
      <c r="I36" s="17">
        <v>649</v>
      </c>
      <c r="J36" t="s">
        <v>113</v>
      </c>
      <c r="K36" t="s">
        <v>13</v>
      </c>
      <c r="L36" t="s">
        <v>13</v>
      </c>
    </row>
    <row r="37" spans="1:12">
      <c r="A37" s="16">
        <v>46089</v>
      </c>
      <c r="B37" t="s">
        <v>957</v>
      </c>
      <c r="C37" t="s">
        <v>958</v>
      </c>
      <c r="D37">
        <v>9354629338</v>
      </c>
      <c r="F37">
        <v>24500</v>
      </c>
      <c r="G37" t="s">
        <v>13</v>
      </c>
      <c r="H37" t="s">
        <v>959</v>
      </c>
      <c r="I37" s="17">
        <v>4652</v>
      </c>
      <c r="J37" t="s">
        <v>113</v>
      </c>
      <c r="K37" t="s">
        <v>13</v>
      </c>
      <c r="L37" t="s">
        <v>13</v>
      </c>
    </row>
    <row r="38" spans="1:12">
      <c r="A38" s="16">
        <v>46089</v>
      </c>
      <c r="B38" s="8" t="s">
        <v>850</v>
      </c>
      <c r="C38" s="8" t="s">
        <v>849</v>
      </c>
      <c r="D38">
        <v>9013637615</v>
      </c>
      <c r="F38">
        <v>67365</v>
      </c>
      <c r="G38" t="s">
        <v>13</v>
      </c>
      <c r="H38" t="s">
        <v>960</v>
      </c>
      <c r="I38" s="17">
        <v>150</v>
      </c>
      <c r="J38" t="s">
        <v>113</v>
      </c>
      <c r="K38" t="s">
        <v>13</v>
      </c>
      <c r="L38" t="s">
        <v>13</v>
      </c>
    </row>
    <row r="39" spans="1:12">
      <c r="A39" s="16">
        <v>46089</v>
      </c>
      <c r="B39" t="s">
        <v>961</v>
      </c>
      <c r="C39" t="s">
        <v>963</v>
      </c>
      <c r="D39">
        <v>9560678384</v>
      </c>
      <c r="F39">
        <v>81845</v>
      </c>
      <c r="G39" t="s">
        <v>13</v>
      </c>
      <c r="H39" t="s">
        <v>962</v>
      </c>
      <c r="I39" s="17">
        <v>1250</v>
      </c>
      <c r="J39" t="s">
        <v>113</v>
      </c>
      <c r="K39" t="s">
        <v>18</v>
      </c>
      <c r="L39" t="s">
        <v>18</v>
      </c>
    </row>
    <row r="40" spans="1:12">
      <c r="A40" s="16">
        <v>46089</v>
      </c>
      <c r="B40" t="s">
        <v>965</v>
      </c>
      <c r="C40" t="s">
        <v>154</v>
      </c>
      <c r="D40">
        <v>7982465627</v>
      </c>
      <c r="F40">
        <v>58991</v>
      </c>
      <c r="G40" t="s">
        <v>13</v>
      </c>
      <c r="H40" t="s">
        <v>758</v>
      </c>
      <c r="I40" s="17">
        <f>2686+150+50</f>
        <v>2886</v>
      </c>
      <c r="J40" t="s">
        <v>856</v>
      </c>
      <c r="K40" t="s">
        <v>13</v>
      </c>
      <c r="L40" t="s">
        <v>13</v>
      </c>
    </row>
    <row r="41" spans="1:12">
      <c r="A41" s="16">
        <v>46089</v>
      </c>
      <c r="B41" t="s">
        <v>966</v>
      </c>
      <c r="C41" t="s">
        <v>964</v>
      </c>
      <c r="D41">
        <v>9811172543</v>
      </c>
      <c r="F41">
        <v>5986</v>
      </c>
      <c r="G41" t="s">
        <v>18</v>
      </c>
      <c r="H41" t="s">
        <v>967</v>
      </c>
      <c r="I41" s="17">
        <v>11772</v>
      </c>
      <c r="J41" t="s">
        <v>113</v>
      </c>
      <c r="K41" t="s">
        <v>13</v>
      </c>
      <c r="L41" t="s">
        <v>13</v>
      </c>
    </row>
    <row r="42" spans="1:12">
      <c r="A42" s="16">
        <v>46089</v>
      </c>
      <c r="B42" t="s">
        <v>688</v>
      </c>
      <c r="C42" t="s">
        <v>973</v>
      </c>
      <c r="D42">
        <v>9999578320</v>
      </c>
      <c r="F42">
        <v>28287</v>
      </c>
      <c r="G42" t="s">
        <v>18</v>
      </c>
      <c r="H42" t="s">
        <v>972</v>
      </c>
      <c r="I42" s="17">
        <v>6351</v>
      </c>
      <c r="J42" t="s">
        <v>113</v>
      </c>
      <c r="K42" t="s">
        <v>13</v>
      </c>
      <c r="L42" t="s">
        <v>13</v>
      </c>
    </row>
    <row r="43" spans="1:12">
      <c r="A43" s="16">
        <v>46089</v>
      </c>
      <c r="B43" t="s">
        <v>968</v>
      </c>
      <c r="C43" t="s">
        <v>154</v>
      </c>
      <c r="D43">
        <v>9350166122</v>
      </c>
      <c r="F43">
        <v>51252</v>
      </c>
      <c r="G43" t="s">
        <v>18</v>
      </c>
      <c r="H43" t="s">
        <v>969</v>
      </c>
      <c r="I43" s="17">
        <v>2000</v>
      </c>
      <c r="J43" t="s">
        <v>113</v>
      </c>
      <c r="K43" t="s">
        <v>13</v>
      </c>
      <c r="L43" t="s">
        <v>13</v>
      </c>
    </row>
    <row r="44" spans="1:12">
      <c r="A44" s="16">
        <v>46089</v>
      </c>
      <c r="B44" t="s">
        <v>778</v>
      </c>
      <c r="C44" t="s">
        <v>147</v>
      </c>
      <c r="D44">
        <v>7503973980</v>
      </c>
      <c r="F44">
        <v>102163</v>
      </c>
      <c r="G44" t="s">
        <v>13</v>
      </c>
      <c r="H44" t="s">
        <v>970</v>
      </c>
      <c r="I44" s="17">
        <v>365</v>
      </c>
      <c r="J44" t="s">
        <v>113</v>
      </c>
      <c r="K44" t="s">
        <v>13</v>
      </c>
      <c r="L44" t="s">
        <v>13</v>
      </c>
    </row>
    <row r="45" spans="1:12">
      <c r="A45" s="16">
        <v>46089</v>
      </c>
      <c r="B45" t="s">
        <v>235</v>
      </c>
      <c r="C45" t="s">
        <v>971</v>
      </c>
      <c r="D45">
        <v>9716906160</v>
      </c>
      <c r="F45">
        <v>24515</v>
      </c>
      <c r="G45" t="s">
        <v>18</v>
      </c>
      <c r="H45" t="s">
        <v>37</v>
      </c>
      <c r="I45" s="17">
        <v>649</v>
      </c>
      <c r="J45" t="s">
        <v>113</v>
      </c>
      <c r="K45" t="s">
        <v>13</v>
      </c>
      <c r="L45" t="s">
        <v>13</v>
      </c>
    </row>
    <row r="46" spans="1:12">
      <c r="A46" s="16">
        <v>46089</v>
      </c>
      <c r="B46" t="s">
        <v>974</v>
      </c>
      <c r="C46" t="s">
        <v>975</v>
      </c>
      <c r="D46">
        <v>8802635847</v>
      </c>
      <c r="F46">
        <v>2628</v>
      </c>
      <c r="G46" t="s">
        <v>8</v>
      </c>
      <c r="H46" t="s">
        <v>976</v>
      </c>
      <c r="I46" s="17">
        <v>877</v>
      </c>
      <c r="J46" t="s">
        <v>113</v>
      </c>
      <c r="K46" t="s">
        <v>13</v>
      </c>
      <c r="L46" t="s">
        <v>13</v>
      </c>
    </row>
    <row r="47" spans="1:12">
      <c r="A47" s="16">
        <v>46090</v>
      </c>
      <c r="B47" t="s">
        <v>977</v>
      </c>
      <c r="C47" t="s">
        <v>978</v>
      </c>
      <c r="D47">
        <v>7011810409</v>
      </c>
      <c r="F47">
        <v>5303</v>
      </c>
      <c r="G47" t="s">
        <v>18</v>
      </c>
      <c r="H47" t="s">
        <v>979</v>
      </c>
      <c r="I47" s="17">
        <v>4257</v>
      </c>
      <c r="J47" t="s">
        <v>113</v>
      </c>
      <c r="K47" t="s">
        <v>13</v>
      </c>
      <c r="L47" t="s">
        <v>13</v>
      </c>
    </row>
    <row r="48" spans="1:12">
      <c r="A48" s="16">
        <v>46090</v>
      </c>
      <c r="B48" t="s">
        <v>20</v>
      </c>
      <c r="C48" t="s">
        <v>21</v>
      </c>
      <c r="D48">
        <v>9968055856</v>
      </c>
      <c r="F48">
        <v>18385</v>
      </c>
      <c r="G48" t="s">
        <v>18</v>
      </c>
      <c r="H48" t="s">
        <v>980</v>
      </c>
      <c r="I48" s="17">
        <v>174</v>
      </c>
      <c r="J48" t="s">
        <v>113</v>
      </c>
      <c r="K48" t="s">
        <v>13</v>
      </c>
      <c r="L48" t="s">
        <v>13</v>
      </c>
    </row>
    <row r="49" spans="1:12">
      <c r="A49" s="16">
        <v>46090</v>
      </c>
      <c r="B49" t="s">
        <v>982</v>
      </c>
      <c r="C49" t="s">
        <v>981</v>
      </c>
      <c r="D49">
        <v>9560975630</v>
      </c>
      <c r="F49">
        <v>54345</v>
      </c>
      <c r="G49" t="s">
        <v>18</v>
      </c>
      <c r="H49" t="s">
        <v>983</v>
      </c>
      <c r="I49" s="17">
        <v>17376</v>
      </c>
      <c r="J49" t="s">
        <v>113</v>
      </c>
      <c r="K49" t="s">
        <v>13</v>
      </c>
      <c r="L49" t="s">
        <v>13</v>
      </c>
    </row>
    <row r="50" spans="1:12">
      <c r="A50" s="16">
        <v>46090</v>
      </c>
      <c r="B50" t="s">
        <v>587</v>
      </c>
      <c r="C50" t="s">
        <v>588</v>
      </c>
      <c r="D50">
        <v>7503333133</v>
      </c>
      <c r="F50">
        <v>61000</v>
      </c>
      <c r="G50" t="s">
        <v>13</v>
      </c>
      <c r="H50" t="s">
        <v>989</v>
      </c>
      <c r="I50" s="17">
        <v>3300</v>
      </c>
      <c r="J50" t="s">
        <v>113</v>
      </c>
      <c r="K50" t="s">
        <v>13</v>
      </c>
      <c r="L50" t="s">
        <v>13</v>
      </c>
    </row>
    <row r="51" spans="1:12">
      <c r="A51" s="16">
        <v>46092</v>
      </c>
      <c r="B51" t="s">
        <v>985</v>
      </c>
      <c r="C51" t="s">
        <v>984</v>
      </c>
      <c r="D51">
        <v>9899467870</v>
      </c>
      <c r="F51">
        <v>13471</v>
      </c>
      <c r="G51" t="s">
        <v>18</v>
      </c>
      <c r="H51" t="s">
        <v>986</v>
      </c>
      <c r="I51">
        <f>1075+650</f>
        <v>1725</v>
      </c>
      <c r="J51" t="s">
        <v>113</v>
      </c>
      <c r="K51" t="s">
        <v>13</v>
      </c>
      <c r="L51" t="s">
        <v>13</v>
      </c>
    </row>
    <row r="52" spans="1:12">
      <c r="A52" s="16">
        <v>46092</v>
      </c>
      <c r="B52" t="s">
        <v>988</v>
      </c>
      <c r="C52" t="s">
        <v>987</v>
      </c>
      <c r="D52">
        <v>9911585884</v>
      </c>
      <c r="F52">
        <v>17478</v>
      </c>
      <c r="G52" t="s">
        <v>18</v>
      </c>
      <c r="H52" t="s">
        <v>951</v>
      </c>
      <c r="I52">
        <v>649</v>
      </c>
      <c r="J52" t="s">
        <v>113</v>
      </c>
      <c r="K52" t="s">
        <v>13</v>
      </c>
      <c r="L52" t="s">
        <v>13</v>
      </c>
    </row>
    <row r="53" spans="1:12">
      <c r="A53" s="16">
        <v>46092</v>
      </c>
      <c r="B53" t="s">
        <v>992</v>
      </c>
      <c r="C53" t="s">
        <v>990</v>
      </c>
      <c r="D53">
        <v>9268075916</v>
      </c>
      <c r="F53">
        <v>21998</v>
      </c>
      <c r="G53" t="s">
        <v>18</v>
      </c>
      <c r="H53" t="s">
        <v>991</v>
      </c>
      <c r="I53">
        <f>4887+50</f>
        <v>4937</v>
      </c>
      <c r="J53" t="s">
        <v>126</v>
      </c>
      <c r="K53" t="s">
        <v>13</v>
      </c>
      <c r="L53" t="s">
        <v>13</v>
      </c>
    </row>
    <row r="54" spans="1:12">
      <c r="A54" s="16">
        <v>46092</v>
      </c>
      <c r="B54" t="s">
        <v>433</v>
      </c>
      <c r="C54" t="s">
        <v>111</v>
      </c>
      <c r="D54">
        <v>9212756556</v>
      </c>
      <c r="F54">
        <v>6357</v>
      </c>
      <c r="G54" t="s">
        <v>13</v>
      </c>
      <c r="H54" t="s">
        <v>993</v>
      </c>
      <c r="I54">
        <f>675+100</f>
        <v>775</v>
      </c>
      <c r="J54" t="s">
        <v>113</v>
      </c>
      <c r="K54" t="s">
        <v>13</v>
      </c>
      <c r="L54" t="s">
        <v>13</v>
      </c>
    </row>
    <row r="55" spans="1:12">
      <c r="A55" s="16">
        <v>46093</v>
      </c>
      <c r="B55" t="s">
        <v>961</v>
      </c>
      <c r="C55" t="s">
        <v>963</v>
      </c>
      <c r="D55">
        <v>9560678384</v>
      </c>
      <c r="F55">
        <v>82107</v>
      </c>
      <c r="G55" t="s">
        <v>18</v>
      </c>
      <c r="H55" t="s">
        <v>994</v>
      </c>
      <c r="I55">
        <v>22538</v>
      </c>
      <c r="J55" t="s">
        <v>113</v>
      </c>
      <c r="K55" t="s">
        <v>13</v>
      </c>
      <c r="L55" t="s">
        <v>13</v>
      </c>
    </row>
    <row r="56" spans="1:12">
      <c r="A56" s="16">
        <v>46094</v>
      </c>
      <c r="B56" t="s">
        <v>537</v>
      </c>
      <c r="C56" t="s">
        <v>539</v>
      </c>
      <c r="D56">
        <v>9871450303</v>
      </c>
      <c r="F56">
        <v>174007</v>
      </c>
      <c r="G56" t="s">
        <v>18</v>
      </c>
      <c r="H56" t="s">
        <v>995</v>
      </c>
      <c r="I56">
        <v>814</v>
      </c>
      <c r="J56" t="s">
        <v>113</v>
      </c>
      <c r="K56" t="s">
        <v>13</v>
      </c>
      <c r="L56" t="s">
        <v>13</v>
      </c>
    </row>
    <row r="57" spans="1:12">
      <c r="A57" s="16">
        <v>46094</v>
      </c>
      <c r="B57" t="s">
        <v>996</v>
      </c>
      <c r="C57" t="s">
        <v>997</v>
      </c>
      <c r="D57" t="s">
        <v>998</v>
      </c>
      <c r="F57">
        <v>37155</v>
      </c>
      <c r="G57" t="s">
        <v>18</v>
      </c>
      <c r="H57" t="s">
        <v>999</v>
      </c>
      <c r="I57">
        <v>2487</v>
      </c>
      <c r="J57" t="s">
        <v>113</v>
      </c>
      <c r="K57" t="s">
        <v>13</v>
      </c>
      <c r="L57" t="s">
        <v>13</v>
      </c>
    </row>
    <row r="58" spans="1:12">
      <c r="A58" s="16">
        <v>46095</v>
      </c>
      <c r="B58" t="s">
        <v>1000</v>
      </c>
      <c r="C58" t="s">
        <v>1001</v>
      </c>
      <c r="D58">
        <v>8299628372</v>
      </c>
      <c r="G58" t="s">
        <v>18</v>
      </c>
      <c r="H58" t="s">
        <v>1002</v>
      </c>
      <c r="I58">
        <v>1649</v>
      </c>
      <c r="J58" t="s">
        <v>113</v>
      </c>
      <c r="K58" t="s">
        <v>13</v>
      </c>
      <c r="L58" t="s">
        <v>13</v>
      </c>
    </row>
    <row r="59" spans="1:12">
      <c r="A59" s="16">
        <v>46095</v>
      </c>
      <c r="B59" t="s">
        <v>374</v>
      </c>
      <c r="C59" t="s">
        <v>1003</v>
      </c>
      <c r="D59">
        <v>8285582925</v>
      </c>
      <c r="F59">
        <v>37759</v>
      </c>
      <c r="G59" t="s">
        <v>18</v>
      </c>
      <c r="H59" t="s">
        <v>37</v>
      </c>
      <c r="I59">
        <v>649</v>
      </c>
      <c r="J59" t="s">
        <v>113</v>
      </c>
      <c r="K59" t="s">
        <v>13</v>
      </c>
      <c r="L59" t="s">
        <v>13</v>
      </c>
    </row>
    <row r="60" spans="1:12">
      <c r="A60" s="16">
        <v>46096</v>
      </c>
      <c r="B60" t="s">
        <v>1004</v>
      </c>
      <c r="C60" t="s">
        <v>1005</v>
      </c>
      <c r="D60">
        <v>8800533476</v>
      </c>
      <c r="F60">
        <v>34202</v>
      </c>
      <c r="G60" t="s">
        <v>8</v>
      </c>
      <c r="H60" t="s">
        <v>189</v>
      </c>
      <c r="I60">
        <v>4886</v>
      </c>
      <c r="J60" t="s">
        <v>113</v>
      </c>
      <c r="K60" t="s">
        <v>13</v>
      </c>
      <c r="L60" t="s">
        <v>13</v>
      </c>
    </row>
    <row r="61" spans="1:12">
      <c r="A61" s="16">
        <v>46096</v>
      </c>
      <c r="B61" t="s">
        <v>1006</v>
      </c>
      <c r="C61" t="s">
        <v>1007</v>
      </c>
      <c r="D61">
        <v>9871851123</v>
      </c>
      <c r="F61">
        <v>86800</v>
      </c>
      <c r="H61" t="s">
        <v>1008</v>
      </c>
      <c r="I61">
        <v>487</v>
      </c>
      <c r="J61" t="s">
        <v>113</v>
      </c>
      <c r="K61" t="s">
        <v>13</v>
      </c>
      <c r="L61" t="s">
        <v>13</v>
      </c>
    </row>
    <row r="62" spans="1:12">
      <c r="A62" s="16">
        <v>46096</v>
      </c>
      <c r="B62" t="s">
        <v>1009</v>
      </c>
      <c r="C62" t="s">
        <v>427</v>
      </c>
      <c r="D62">
        <v>9891376147</v>
      </c>
      <c r="F62">
        <v>8045</v>
      </c>
      <c r="G62" t="s">
        <v>18</v>
      </c>
      <c r="H62" t="s">
        <v>37</v>
      </c>
      <c r="I62">
        <v>768</v>
      </c>
      <c r="J62" t="s">
        <v>113</v>
      </c>
      <c r="K62" t="s">
        <v>13</v>
      </c>
      <c r="L62" t="s">
        <v>13</v>
      </c>
    </row>
    <row r="63" spans="1:12">
      <c r="A63" s="16">
        <v>46096</v>
      </c>
      <c r="B63" t="s">
        <v>296</v>
      </c>
      <c r="C63" t="s">
        <v>1010</v>
      </c>
      <c r="D63">
        <v>9991114051</v>
      </c>
      <c r="F63">
        <v>12411</v>
      </c>
      <c r="G63" t="s">
        <v>13</v>
      </c>
      <c r="H63" t="s">
        <v>852</v>
      </c>
      <c r="I63">
        <f>1885</f>
        <v>1885</v>
      </c>
      <c r="J63" t="s">
        <v>113</v>
      </c>
      <c r="K63" t="s">
        <v>13</v>
      </c>
      <c r="L63" t="s">
        <v>13</v>
      </c>
    </row>
    <row r="64" spans="1:12">
      <c r="A64" s="16">
        <v>46096</v>
      </c>
      <c r="B64" t="s">
        <v>56</v>
      </c>
      <c r="C64" t="s">
        <v>57</v>
      </c>
      <c r="D64">
        <v>9953695706</v>
      </c>
      <c r="G64" t="s">
        <v>13</v>
      </c>
      <c r="H64" t="s">
        <v>1015</v>
      </c>
      <c r="I64">
        <v>8174</v>
      </c>
      <c r="J64" t="s">
        <v>113</v>
      </c>
      <c r="K64" t="s">
        <v>13</v>
      </c>
      <c r="L64" t="s">
        <v>13</v>
      </c>
    </row>
    <row r="65" spans="1:12">
      <c r="A65" s="16">
        <v>46096</v>
      </c>
      <c r="B65" t="s">
        <v>469</v>
      </c>
      <c r="C65" t="s">
        <v>1011</v>
      </c>
      <c r="D65">
        <v>8588851492</v>
      </c>
      <c r="F65">
        <v>60608</v>
      </c>
      <c r="G65" t="s">
        <v>18</v>
      </c>
      <c r="H65" t="s">
        <v>1012</v>
      </c>
      <c r="I65">
        <f>649+500+250</f>
        <v>1399</v>
      </c>
      <c r="J65" t="s">
        <v>113</v>
      </c>
      <c r="K65" t="s">
        <v>13</v>
      </c>
      <c r="L65" t="s">
        <v>13</v>
      </c>
    </row>
    <row r="66" spans="1:12">
      <c r="A66" s="16">
        <v>46097</v>
      </c>
      <c r="H66" t="s">
        <v>1013</v>
      </c>
      <c r="I66">
        <v>3000</v>
      </c>
      <c r="J66" t="s">
        <v>113</v>
      </c>
      <c r="K66" t="s">
        <v>13</v>
      </c>
      <c r="L66" t="s">
        <v>13</v>
      </c>
    </row>
    <row r="67" spans="1:12">
      <c r="A67" s="16">
        <v>46097</v>
      </c>
      <c r="B67" t="s">
        <v>637</v>
      </c>
      <c r="C67" t="s">
        <v>636</v>
      </c>
      <c r="D67">
        <v>7217754201</v>
      </c>
      <c r="F67">
        <v>33103</v>
      </c>
      <c r="H67" t="s">
        <v>951</v>
      </c>
      <c r="I67">
        <v>649</v>
      </c>
      <c r="J67" t="s">
        <v>113</v>
      </c>
      <c r="K67" t="s">
        <v>13</v>
      </c>
      <c r="L67" t="s">
        <v>13</v>
      </c>
    </row>
    <row r="68" spans="1:12">
      <c r="A68" s="16">
        <v>46097</v>
      </c>
      <c r="B68" t="s">
        <v>359</v>
      </c>
      <c r="C68" t="s">
        <v>360</v>
      </c>
      <c r="D68">
        <v>7982273420</v>
      </c>
      <c r="F68">
        <v>29445</v>
      </c>
      <c r="H68" t="s">
        <v>1014</v>
      </c>
      <c r="I68">
        <v>1985</v>
      </c>
      <c r="J68" t="s">
        <v>1018</v>
      </c>
      <c r="K68" t="s">
        <v>13</v>
      </c>
      <c r="L68" t="s">
        <v>13</v>
      </c>
    </row>
    <row r="69" spans="1:12">
      <c r="A69" s="16">
        <v>46097</v>
      </c>
      <c r="B69" t="s">
        <v>1016</v>
      </c>
      <c r="C69" t="s">
        <v>1017</v>
      </c>
      <c r="D69">
        <v>9911139987</v>
      </c>
      <c r="F69">
        <v>23013</v>
      </c>
      <c r="H69" t="s">
        <v>623</v>
      </c>
      <c r="I69">
        <v>1299</v>
      </c>
      <c r="J69" t="s">
        <v>856</v>
      </c>
      <c r="K69" t="s">
        <v>13</v>
      </c>
      <c r="L69" t="s">
        <v>13</v>
      </c>
    </row>
    <row r="70" spans="1:12">
      <c r="A70" s="16">
        <v>46097</v>
      </c>
      <c r="B70" t="s">
        <v>1020</v>
      </c>
      <c r="C70" t="s">
        <v>1019</v>
      </c>
      <c r="D70">
        <v>9899277716</v>
      </c>
      <c r="F70">
        <v>11099</v>
      </c>
      <c r="H70" t="s">
        <v>1021</v>
      </c>
      <c r="I70">
        <v>800</v>
      </c>
      <c r="J70" t="s">
        <v>113</v>
      </c>
      <c r="K70" t="s">
        <v>13</v>
      </c>
      <c r="L70" t="s">
        <v>13</v>
      </c>
    </row>
    <row r="71" spans="1:12">
      <c r="A71" s="16">
        <v>46097</v>
      </c>
      <c r="B71" t="s">
        <v>1022</v>
      </c>
      <c r="C71" t="s">
        <v>1023</v>
      </c>
      <c r="D71">
        <v>9891000931</v>
      </c>
      <c r="F71">
        <v>55000</v>
      </c>
      <c r="H71" t="s">
        <v>1024</v>
      </c>
      <c r="I71">
        <v>12850</v>
      </c>
      <c r="J71" t="s">
        <v>229</v>
      </c>
      <c r="K71" t="s">
        <v>18</v>
      </c>
      <c r="L71" t="s">
        <v>18</v>
      </c>
    </row>
    <row r="72" spans="1:12">
      <c r="A72" s="16">
        <v>46099</v>
      </c>
      <c r="B72" t="s">
        <v>108</v>
      </c>
      <c r="C72" t="s">
        <v>1026</v>
      </c>
      <c r="D72">
        <v>8448133685</v>
      </c>
      <c r="F72">
        <v>8551</v>
      </c>
      <c r="H72" t="s">
        <v>520</v>
      </c>
      <c r="I72">
        <v>625</v>
      </c>
      <c r="J72" t="s">
        <v>1025</v>
      </c>
      <c r="K72" t="s">
        <v>13</v>
      </c>
      <c r="L72" t="s">
        <v>13</v>
      </c>
    </row>
    <row r="73" spans="1:12">
      <c r="A73" s="16">
        <v>46099</v>
      </c>
      <c r="B73" t="s">
        <v>1027</v>
      </c>
      <c r="C73" t="s">
        <v>357</v>
      </c>
      <c r="D73">
        <v>8010006160</v>
      </c>
      <c r="F73">
        <v>25059</v>
      </c>
      <c r="H73" t="s">
        <v>1028</v>
      </c>
      <c r="I73">
        <v>1820</v>
      </c>
      <c r="J73" t="s">
        <v>126</v>
      </c>
      <c r="K73" t="s">
        <v>13</v>
      </c>
      <c r="L73" t="s">
        <v>13</v>
      </c>
    </row>
    <row r="74" spans="1:12">
      <c r="A74" s="16">
        <v>46099</v>
      </c>
      <c r="B74" t="s">
        <v>1029</v>
      </c>
      <c r="C74" t="s">
        <v>1030</v>
      </c>
      <c r="D74">
        <v>9999359510</v>
      </c>
      <c r="F74">
        <v>15187</v>
      </c>
      <c r="H74" t="s">
        <v>1032</v>
      </c>
      <c r="I74">
        <v>3100</v>
      </c>
      <c r="J74" t="s">
        <v>126</v>
      </c>
      <c r="K74" t="s">
        <v>18</v>
      </c>
      <c r="L74" t="s">
        <v>18</v>
      </c>
    </row>
    <row r="75" spans="1:12">
      <c r="A75" s="16">
        <v>46099</v>
      </c>
      <c r="B75" t="s">
        <v>1031</v>
      </c>
      <c r="C75" t="s">
        <v>1033</v>
      </c>
      <c r="D75">
        <v>7210015801</v>
      </c>
      <c r="F75">
        <v>63098</v>
      </c>
      <c r="H75" t="s">
        <v>1034</v>
      </c>
      <c r="I75">
        <f>2701+475</f>
        <v>3176</v>
      </c>
      <c r="J75" t="s">
        <v>229</v>
      </c>
      <c r="K75" t="s">
        <v>13</v>
      </c>
      <c r="L75" t="s">
        <v>13</v>
      </c>
    </row>
    <row r="76" spans="1:12">
      <c r="A76" s="16">
        <v>46099</v>
      </c>
      <c r="B76" t="s">
        <v>1036</v>
      </c>
      <c r="C76" t="s">
        <v>1037</v>
      </c>
      <c r="D76">
        <v>9818282300</v>
      </c>
      <c r="F76">
        <v>54683</v>
      </c>
      <c r="H76" t="s">
        <v>1035</v>
      </c>
      <c r="I76">
        <f>4887+625+1075+500</f>
        <v>7087</v>
      </c>
      <c r="J76" t="s">
        <v>126</v>
      </c>
      <c r="K76" t="s">
        <v>13</v>
      </c>
      <c r="L76" t="s">
        <v>13</v>
      </c>
    </row>
    <row r="77" spans="1:12">
      <c r="A77" s="16">
        <v>46099</v>
      </c>
      <c r="B77" t="s">
        <v>957</v>
      </c>
      <c r="C77" t="s">
        <v>1038</v>
      </c>
      <c r="D77" s="8">
        <v>9599114124</v>
      </c>
      <c r="F77">
        <v>1097</v>
      </c>
      <c r="H77" t="s">
        <v>1039</v>
      </c>
      <c r="I77">
        <f>4257+1352+50</f>
        <v>5659</v>
      </c>
      <c r="J77" t="s">
        <v>113</v>
      </c>
      <c r="K77" t="s">
        <v>13</v>
      </c>
      <c r="L77" t="s">
        <v>13</v>
      </c>
    </row>
    <row r="78" spans="1:12">
      <c r="A78" s="16">
        <v>46099</v>
      </c>
      <c r="B78" t="s">
        <v>1042</v>
      </c>
      <c r="C78" t="s">
        <v>1040</v>
      </c>
      <c r="D78">
        <v>8802774851</v>
      </c>
      <c r="F78">
        <v>36844</v>
      </c>
      <c r="H78" t="s">
        <v>1041</v>
      </c>
      <c r="I78">
        <v>1149</v>
      </c>
      <c r="J78" t="s">
        <v>113</v>
      </c>
      <c r="K78" t="s">
        <v>13</v>
      </c>
      <c r="L78" t="s">
        <v>13</v>
      </c>
    </row>
    <row r="79" spans="1:12">
      <c r="A79" s="16">
        <v>46099</v>
      </c>
      <c r="B79" t="s">
        <v>1043</v>
      </c>
      <c r="C79" t="s">
        <v>1043</v>
      </c>
      <c r="D79" t="s">
        <v>1043</v>
      </c>
      <c r="F79" t="s">
        <v>1043</v>
      </c>
      <c r="H79" t="s">
        <v>845</v>
      </c>
      <c r="I79">
        <v>400</v>
      </c>
      <c r="J79" t="s">
        <v>126</v>
      </c>
      <c r="K79" t="s">
        <v>13</v>
      </c>
      <c r="L79" t="s">
        <v>13</v>
      </c>
    </row>
    <row r="80" spans="1:12">
      <c r="A80" s="16">
        <v>46100</v>
      </c>
      <c r="B80" t="s">
        <v>1044</v>
      </c>
      <c r="C80" t="s">
        <v>733</v>
      </c>
      <c r="D80">
        <v>8700193935</v>
      </c>
      <c r="F80">
        <v>37779</v>
      </c>
      <c r="H80" t="s">
        <v>1045</v>
      </c>
      <c r="I80">
        <v>1136</v>
      </c>
      <c r="J80" t="s">
        <v>113</v>
      </c>
      <c r="K80" t="s">
        <v>13</v>
      </c>
      <c r="L80" t="s">
        <v>13</v>
      </c>
    </row>
    <row r="81" spans="1:13">
      <c r="A81" s="16">
        <v>46100</v>
      </c>
      <c r="B81" t="s">
        <v>1047</v>
      </c>
      <c r="C81" t="s">
        <v>1046</v>
      </c>
      <c r="D81">
        <v>9818138936</v>
      </c>
      <c r="F81">
        <v>47877</v>
      </c>
      <c r="H81" t="s">
        <v>1048</v>
      </c>
      <c r="I81">
        <f>4887+500</f>
        <v>5387</v>
      </c>
      <c r="J81" t="s">
        <v>113</v>
      </c>
      <c r="K81" t="s">
        <v>13</v>
      </c>
      <c r="L81" t="s">
        <v>13</v>
      </c>
    </row>
    <row r="82" spans="1:13">
      <c r="A82" s="16">
        <v>46100</v>
      </c>
      <c r="B82" t="s">
        <v>1000</v>
      </c>
      <c r="C82" t="s">
        <v>1001</v>
      </c>
      <c r="D82">
        <v>8299628372</v>
      </c>
      <c r="H82" t="s">
        <v>1049</v>
      </c>
      <c r="I82">
        <v>50</v>
      </c>
      <c r="J82" t="s">
        <v>113</v>
      </c>
      <c r="K82" t="s">
        <v>13</v>
      </c>
      <c r="L82" t="s">
        <v>13</v>
      </c>
    </row>
    <row r="83" spans="1:13">
      <c r="A83" s="16">
        <v>46100</v>
      </c>
      <c r="B83" t="s">
        <v>743</v>
      </c>
      <c r="C83" t="s">
        <v>744</v>
      </c>
      <c r="D83">
        <v>9953703088</v>
      </c>
      <c r="F83">
        <v>27144</v>
      </c>
      <c r="H83" t="s">
        <v>1050</v>
      </c>
      <c r="I83">
        <v>1950</v>
      </c>
      <c r="J83" t="s">
        <v>113</v>
      </c>
      <c r="K83" t="s">
        <v>13</v>
      </c>
      <c r="L83" t="s">
        <v>13</v>
      </c>
    </row>
    <row r="84" spans="1:13">
      <c r="A84" s="16">
        <v>46101</v>
      </c>
      <c r="B84" t="s">
        <v>1052</v>
      </c>
      <c r="C84" t="s">
        <v>1051</v>
      </c>
      <c r="D84">
        <v>9999450371</v>
      </c>
      <c r="F84">
        <v>29118</v>
      </c>
      <c r="H84" t="s">
        <v>170</v>
      </c>
      <c r="I84">
        <v>1135</v>
      </c>
      <c r="J84" t="s">
        <v>113</v>
      </c>
      <c r="K84" t="s">
        <v>13</v>
      </c>
      <c r="L84" t="s">
        <v>13</v>
      </c>
    </row>
    <row r="85" spans="1:13">
      <c r="A85" s="16">
        <v>46102</v>
      </c>
      <c r="B85" t="s">
        <v>1053</v>
      </c>
      <c r="C85" t="s">
        <v>1054</v>
      </c>
      <c r="D85">
        <v>7048999141</v>
      </c>
      <c r="F85">
        <v>44751</v>
      </c>
      <c r="H85" t="s">
        <v>257</v>
      </c>
      <c r="I85">
        <v>400</v>
      </c>
      <c r="J85" t="s">
        <v>113</v>
      </c>
      <c r="K85" t="s">
        <v>13</v>
      </c>
      <c r="L85" t="s">
        <v>13</v>
      </c>
    </row>
    <row r="86" spans="1:13">
      <c r="A86" s="16">
        <v>46102</v>
      </c>
      <c r="B86" t="s">
        <v>1055</v>
      </c>
      <c r="C86" t="s">
        <v>1057</v>
      </c>
      <c r="D86">
        <v>9211137842</v>
      </c>
      <c r="F86">
        <v>32880</v>
      </c>
      <c r="H86" t="s">
        <v>1056</v>
      </c>
      <c r="I86">
        <v>3500</v>
      </c>
      <c r="J86" t="s">
        <v>1058</v>
      </c>
      <c r="K86" t="s">
        <v>13</v>
      </c>
      <c r="L86" t="s">
        <v>13</v>
      </c>
    </row>
    <row r="87" spans="1:13">
      <c r="A87" s="16">
        <v>46103</v>
      </c>
      <c r="B87" t="s">
        <v>463</v>
      </c>
      <c r="C87" t="s">
        <v>464</v>
      </c>
      <c r="D87">
        <v>9650447811</v>
      </c>
      <c r="F87">
        <v>11856</v>
      </c>
      <c r="H87" t="s">
        <v>1059</v>
      </c>
      <c r="I87">
        <v>4200</v>
      </c>
      <c r="J87" t="s">
        <v>113</v>
      </c>
      <c r="K87" t="s">
        <v>13</v>
      </c>
      <c r="L87" t="s">
        <v>13</v>
      </c>
    </row>
    <row r="88" spans="1:13">
      <c r="A88" s="16">
        <v>46103</v>
      </c>
      <c r="B88" t="s">
        <v>965</v>
      </c>
      <c r="F88">
        <v>59533</v>
      </c>
      <c r="H88" t="s">
        <v>1060</v>
      </c>
      <c r="I88">
        <v>675</v>
      </c>
      <c r="J88" t="s">
        <v>113</v>
      </c>
      <c r="K88" t="s">
        <v>13</v>
      </c>
      <c r="L88" t="s">
        <v>13</v>
      </c>
    </row>
    <row r="89" spans="1:13">
      <c r="A89" s="16">
        <v>46103</v>
      </c>
      <c r="B89" t="s">
        <v>1061</v>
      </c>
      <c r="C89" t="s">
        <v>1062</v>
      </c>
      <c r="D89">
        <v>8803009532</v>
      </c>
      <c r="F89">
        <v>47177</v>
      </c>
      <c r="H89" t="s">
        <v>1063</v>
      </c>
      <c r="I89">
        <v>649</v>
      </c>
      <c r="J89" t="s">
        <v>113</v>
      </c>
      <c r="K89" t="s">
        <v>13</v>
      </c>
      <c r="L89" t="s">
        <v>13</v>
      </c>
    </row>
    <row r="90" spans="1:13">
      <c r="A90" s="16">
        <v>46103</v>
      </c>
      <c r="B90" t="s">
        <v>848</v>
      </c>
      <c r="C90" t="s">
        <v>154</v>
      </c>
      <c r="D90">
        <v>9528530686</v>
      </c>
      <c r="F90">
        <v>20898</v>
      </c>
      <c r="H90" t="s">
        <v>1065</v>
      </c>
      <c r="I90">
        <v>1350</v>
      </c>
      <c r="J90" t="s">
        <v>113</v>
      </c>
      <c r="K90" t="s">
        <v>18</v>
      </c>
      <c r="L90" t="s">
        <v>18</v>
      </c>
      <c r="M90" s="19"/>
    </row>
    <row r="91" spans="1:13">
      <c r="A91" s="16">
        <v>46103</v>
      </c>
      <c r="B91" t="s">
        <v>1067</v>
      </c>
      <c r="C91" t="s">
        <v>1066</v>
      </c>
      <c r="D91">
        <v>8368226906</v>
      </c>
      <c r="F91">
        <v>71900</v>
      </c>
      <c r="H91" t="s">
        <v>1068</v>
      </c>
      <c r="I91">
        <v>854</v>
      </c>
      <c r="J91" t="s">
        <v>113</v>
      </c>
      <c r="K91" t="s">
        <v>13</v>
      </c>
      <c r="L91" t="s">
        <v>13</v>
      </c>
    </row>
    <row r="92" spans="1:13">
      <c r="A92" s="16">
        <v>46103</v>
      </c>
      <c r="B92" t="s">
        <v>1070</v>
      </c>
      <c r="C92" t="s">
        <v>1069</v>
      </c>
      <c r="D92">
        <v>9213718977</v>
      </c>
      <c r="F92">
        <v>48644</v>
      </c>
      <c r="H92" t="s">
        <v>1071</v>
      </c>
      <c r="I92">
        <f>649+1007</f>
        <v>1656</v>
      </c>
      <c r="J92" t="s">
        <v>113</v>
      </c>
      <c r="K92" t="s">
        <v>18</v>
      </c>
      <c r="L92" t="s">
        <v>18</v>
      </c>
    </row>
    <row r="93" spans="1:13">
      <c r="A93" s="16">
        <v>46103</v>
      </c>
      <c r="B93" t="s">
        <v>1072</v>
      </c>
      <c r="C93" t="s">
        <v>247</v>
      </c>
      <c r="D93">
        <v>9136796078</v>
      </c>
      <c r="F93">
        <v>6420</v>
      </c>
      <c r="H93" t="s">
        <v>37</v>
      </c>
      <c r="I93">
        <v>649</v>
      </c>
      <c r="J93" t="s">
        <v>126</v>
      </c>
      <c r="K93" t="s">
        <v>13</v>
      </c>
      <c r="L93" t="s">
        <v>13</v>
      </c>
    </row>
    <row r="94" spans="1:13">
      <c r="A94" s="16">
        <v>46103</v>
      </c>
      <c r="B94" t="s">
        <v>587</v>
      </c>
      <c r="C94" t="s">
        <v>588</v>
      </c>
      <c r="D94">
        <v>7503333133</v>
      </c>
      <c r="F94">
        <v>61500</v>
      </c>
      <c r="H94" t="s">
        <v>875</v>
      </c>
      <c r="I94">
        <v>3200</v>
      </c>
      <c r="J94" t="s">
        <v>113</v>
      </c>
      <c r="K94" t="s">
        <v>13</v>
      </c>
      <c r="L94" t="s">
        <v>13</v>
      </c>
    </row>
    <row r="95" spans="1:13">
      <c r="A95" s="16">
        <v>46104</v>
      </c>
      <c r="B95" t="s">
        <v>1077</v>
      </c>
      <c r="C95" t="s">
        <v>1076</v>
      </c>
      <c r="D95">
        <v>8800230404</v>
      </c>
      <c r="F95">
        <v>27321</v>
      </c>
      <c r="H95" t="s">
        <v>533</v>
      </c>
      <c r="I95">
        <v>11324</v>
      </c>
      <c r="J95" t="s">
        <v>113</v>
      </c>
      <c r="K95" t="s">
        <v>13</v>
      </c>
      <c r="L95" t="s">
        <v>13</v>
      </c>
    </row>
    <row r="96" spans="1:13">
      <c r="A96" s="16">
        <v>46106</v>
      </c>
      <c r="B96" t="s">
        <v>1074</v>
      </c>
      <c r="C96" t="s">
        <v>1075</v>
      </c>
      <c r="D96">
        <v>9212423417</v>
      </c>
      <c r="F96">
        <v>45275</v>
      </c>
      <c r="H96" t="s">
        <v>422</v>
      </c>
      <c r="I96">
        <v>4886</v>
      </c>
      <c r="J96" t="s">
        <v>113</v>
      </c>
      <c r="K96" t="s">
        <v>13</v>
      </c>
      <c r="L96" t="s">
        <v>13</v>
      </c>
    </row>
    <row r="97" spans="1:12">
      <c r="A97" s="16">
        <v>46106</v>
      </c>
      <c r="B97" t="s">
        <v>445</v>
      </c>
      <c r="C97" t="s">
        <v>1078</v>
      </c>
      <c r="D97">
        <v>8920312079</v>
      </c>
      <c r="F97">
        <v>12067</v>
      </c>
      <c r="H97" t="s">
        <v>216</v>
      </c>
      <c r="I97">
        <v>2000</v>
      </c>
      <c r="J97" t="s">
        <v>429</v>
      </c>
      <c r="K97" t="s">
        <v>13</v>
      </c>
      <c r="L97" t="s">
        <v>13</v>
      </c>
    </row>
    <row r="98" spans="1:12">
      <c r="A98" s="16">
        <v>46106</v>
      </c>
      <c r="B98" t="s">
        <v>858</v>
      </c>
      <c r="C98" t="s">
        <v>857</v>
      </c>
      <c r="D98">
        <v>9818450928</v>
      </c>
      <c r="F98">
        <v>35199</v>
      </c>
      <c r="H98" t="s">
        <v>1079</v>
      </c>
      <c r="I98">
        <v>50</v>
      </c>
      <c r="J98" t="s">
        <v>113</v>
      </c>
      <c r="K98" t="s">
        <v>13</v>
      </c>
      <c r="L98" t="s">
        <v>13</v>
      </c>
    </row>
    <row r="99" spans="1:12">
      <c r="A99" s="16">
        <v>46107</v>
      </c>
      <c r="B99" t="s">
        <v>282</v>
      </c>
      <c r="C99" t="s">
        <v>1080</v>
      </c>
      <c r="D99">
        <v>7428082401</v>
      </c>
      <c r="F99">
        <v>24901</v>
      </c>
      <c r="H99" t="s">
        <v>436</v>
      </c>
      <c r="I99">
        <v>1352</v>
      </c>
      <c r="J99" t="s">
        <v>113</v>
      </c>
      <c r="K99" t="s">
        <v>13</v>
      </c>
      <c r="L99" t="s">
        <v>13</v>
      </c>
    </row>
    <row r="100" spans="1:12">
      <c r="A100" s="16">
        <v>46107</v>
      </c>
      <c r="B100" t="s">
        <v>176</v>
      </c>
      <c r="C100" t="s">
        <v>177</v>
      </c>
      <c r="D100">
        <v>9811146971</v>
      </c>
      <c r="F100">
        <v>34376</v>
      </c>
      <c r="H100" t="s">
        <v>852</v>
      </c>
      <c r="I100">
        <v>1885</v>
      </c>
      <c r="J100" t="s">
        <v>113</v>
      </c>
      <c r="K100" t="s">
        <v>13</v>
      </c>
      <c r="L100" t="s">
        <v>13</v>
      </c>
    </row>
    <row r="101" spans="1:12">
      <c r="A101" s="16">
        <v>46107</v>
      </c>
      <c r="B101" t="s">
        <v>1083</v>
      </c>
      <c r="C101" t="s">
        <v>1081</v>
      </c>
      <c r="D101">
        <v>8010843420</v>
      </c>
      <c r="F101">
        <v>35000</v>
      </c>
      <c r="H101" t="s">
        <v>1082</v>
      </c>
      <c r="I101">
        <v>6050</v>
      </c>
      <c r="J101" t="s">
        <v>113</v>
      </c>
      <c r="K101" t="s">
        <v>13</v>
      </c>
      <c r="L101" t="s">
        <v>13</v>
      </c>
    </row>
    <row r="102" spans="1:12">
      <c r="A102" s="16">
        <v>46107</v>
      </c>
      <c r="B102" t="s">
        <v>529</v>
      </c>
      <c r="C102" t="s">
        <v>531</v>
      </c>
      <c r="D102">
        <v>9250822828</v>
      </c>
      <c r="F102">
        <v>23168</v>
      </c>
      <c r="H102" t="s">
        <v>1084</v>
      </c>
      <c r="I102">
        <v>4400</v>
      </c>
      <c r="J102" t="s">
        <v>113</v>
      </c>
      <c r="K102" t="s">
        <v>13</v>
      </c>
      <c r="L102" t="s">
        <v>13</v>
      </c>
    </row>
    <row r="103" spans="1:12">
      <c r="A103" s="16">
        <v>46107</v>
      </c>
      <c r="B103" t="s">
        <v>729</v>
      </c>
      <c r="C103" t="s">
        <v>947</v>
      </c>
      <c r="D103">
        <v>9805628193</v>
      </c>
      <c r="F103">
        <v>46464</v>
      </c>
      <c r="H103" t="s">
        <v>1085</v>
      </c>
      <c r="I103">
        <v>6624</v>
      </c>
      <c r="J103" t="s">
        <v>113</v>
      </c>
      <c r="K103" t="s">
        <v>13</v>
      </c>
      <c r="L103" t="s">
        <v>13</v>
      </c>
    </row>
    <row r="104" spans="1:12">
      <c r="A104" s="16">
        <v>46107</v>
      </c>
      <c r="B104" t="s">
        <v>1086</v>
      </c>
      <c r="C104" t="s">
        <v>357</v>
      </c>
      <c r="D104">
        <v>9350712551</v>
      </c>
      <c r="F104">
        <v>41699</v>
      </c>
      <c r="H104" t="s">
        <v>37</v>
      </c>
      <c r="I104">
        <v>649</v>
      </c>
      <c r="J104" t="s">
        <v>113</v>
      </c>
      <c r="K104" t="s">
        <v>13</v>
      </c>
      <c r="L104" t="s">
        <v>13</v>
      </c>
    </row>
    <row r="105" spans="1:12">
      <c r="A105" s="16">
        <v>46107</v>
      </c>
      <c r="B105" t="s">
        <v>1087</v>
      </c>
      <c r="C105" t="s">
        <v>42</v>
      </c>
      <c r="D105">
        <v>9625276061</v>
      </c>
      <c r="F105">
        <v>90400</v>
      </c>
      <c r="H105" t="s">
        <v>422</v>
      </c>
      <c r="I105">
        <v>4887</v>
      </c>
      <c r="J105" t="s">
        <v>113</v>
      </c>
      <c r="K105" t="s">
        <v>13</v>
      </c>
      <c r="L105" t="s">
        <v>13</v>
      </c>
    </row>
    <row r="106" spans="1:12">
      <c r="A106" s="16">
        <v>46108</v>
      </c>
      <c r="B106" t="s">
        <v>918</v>
      </c>
      <c r="C106" t="s">
        <v>917</v>
      </c>
      <c r="D106">
        <v>9650204941</v>
      </c>
      <c r="F106">
        <v>50648</v>
      </c>
      <c r="H106" t="s">
        <v>1088</v>
      </c>
      <c r="I106">
        <f>3287+1007</f>
        <v>4294</v>
      </c>
      <c r="J106" t="s">
        <v>113</v>
      </c>
      <c r="K106" t="s">
        <v>18</v>
      </c>
      <c r="L106" t="s">
        <v>18</v>
      </c>
    </row>
    <row r="107" spans="1:12">
      <c r="A107" s="16">
        <v>46108</v>
      </c>
      <c r="B107" t="s">
        <v>676</v>
      </c>
      <c r="C107" t="s">
        <v>677</v>
      </c>
      <c r="D107">
        <v>9555535299</v>
      </c>
      <c r="F107">
        <v>43830</v>
      </c>
      <c r="H107" t="s">
        <v>1089</v>
      </c>
      <c r="I107">
        <f>649+580</f>
        <v>1229</v>
      </c>
      <c r="J107" t="s">
        <v>113</v>
      </c>
      <c r="K107" t="s">
        <v>13</v>
      </c>
      <c r="L107" t="s">
        <v>13</v>
      </c>
    </row>
    <row r="108" spans="1:12">
      <c r="A108" s="16">
        <v>46108</v>
      </c>
      <c r="B108" t="s">
        <v>80</v>
      </c>
      <c r="C108" t="s">
        <v>411</v>
      </c>
      <c r="D108">
        <v>7827157880</v>
      </c>
      <c r="F108">
        <v>10026</v>
      </c>
      <c r="H108" t="s">
        <v>1090</v>
      </c>
      <c r="I108">
        <f>649+750+1885</f>
        <v>3284</v>
      </c>
      <c r="J108" t="s">
        <v>113</v>
      </c>
      <c r="K108" t="s">
        <v>13</v>
      </c>
      <c r="L108" t="s">
        <v>13</v>
      </c>
    </row>
    <row r="109" spans="1:12">
      <c r="A109" s="16">
        <v>46109</v>
      </c>
      <c r="B109" t="s">
        <v>1091</v>
      </c>
      <c r="C109" t="s">
        <v>1092</v>
      </c>
      <c r="D109">
        <v>9555296264</v>
      </c>
      <c r="F109">
        <v>8088</v>
      </c>
      <c r="H109" t="s">
        <v>1093</v>
      </c>
      <c r="I109" s="5">
        <v>817</v>
      </c>
      <c r="J109" t="s">
        <v>113</v>
      </c>
      <c r="K109" t="s">
        <v>13</v>
      </c>
      <c r="L109" t="s">
        <v>13</v>
      </c>
    </row>
    <row r="110" spans="1:12">
      <c r="A110" s="16">
        <v>46109</v>
      </c>
      <c r="B110" t="s">
        <v>778</v>
      </c>
      <c r="C110" t="s">
        <v>147</v>
      </c>
      <c r="D110">
        <v>7503973980</v>
      </c>
      <c r="F110">
        <v>103191</v>
      </c>
      <c r="H110" t="s">
        <v>580</v>
      </c>
      <c r="I110" s="5">
        <v>1352</v>
      </c>
      <c r="J110" t="s">
        <v>113</v>
      </c>
      <c r="K110" t="s">
        <v>13</v>
      </c>
      <c r="L110" t="s">
        <v>13</v>
      </c>
    </row>
    <row r="111" spans="1:12">
      <c r="A111" s="16">
        <v>46109</v>
      </c>
      <c r="B111" t="s">
        <v>1095</v>
      </c>
      <c r="C111" t="s">
        <v>1094</v>
      </c>
      <c r="D111">
        <v>9999355025</v>
      </c>
      <c r="F111">
        <v>34675</v>
      </c>
      <c r="H111" t="s">
        <v>1096</v>
      </c>
      <c r="I111" s="5">
        <v>19400</v>
      </c>
      <c r="J111" t="s">
        <v>113</v>
      </c>
      <c r="K111" t="s">
        <v>13</v>
      </c>
      <c r="L111" t="s">
        <v>13</v>
      </c>
    </row>
    <row r="112" spans="1:12">
      <c r="A112" s="16">
        <v>46109</v>
      </c>
      <c r="B112" t="s">
        <v>1097</v>
      </c>
      <c r="C112" t="s">
        <v>1098</v>
      </c>
      <c r="D112">
        <v>9899211343</v>
      </c>
      <c r="F112">
        <v>33681</v>
      </c>
      <c r="H112" t="s">
        <v>1099</v>
      </c>
      <c r="I112" s="5">
        <v>10500</v>
      </c>
      <c r="J112" t="s">
        <v>126</v>
      </c>
      <c r="K112" t="s">
        <v>13</v>
      </c>
      <c r="L112" t="s">
        <v>13</v>
      </c>
    </row>
    <row r="113" spans="1:12">
      <c r="A113" s="16">
        <v>46109</v>
      </c>
      <c r="B113" t="s">
        <v>317</v>
      </c>
      <c r="C113" t="s">
        <v>1106</v>
      </c>
      <c r="D113">
        <v>9643212610</v>
      </c>
      <c r="F113">
        <v>40730</v>
      </c>
      <c r="H113" t="s">
        <v>37</v>
      </c>
      <c r="I113" s="5">
        <v>649</v>
      </c>
      <c r="J113" t="s">
        <v>113</v>
      </c>
      <c r="K113" t="s">
        <v>13</v>
      </c>
      <c r="L113" t="s">
        <v>13</v>
      </c>
    </row>
    <row r="114" spans="1:12">
      <c r="A114" s="16">
        <v>46109</v>
      </c>
      <c r="B114" t="s">
        <v>1100</v>
      </c>
      <c r="C114" t="s">
        <v>1101</v>
      </c>
      <c r="D114">
        <v>7503458864</v>
      </c>
      <c r="F114">
        <v>21776</v>
      </c>
      <c r="H114" t="s">
        <v>37</v>
      </c>
      <c r="I114" s="5">
        <v>649</v>
      </c>
      <c r="J114" t="s">
        <v>113</v>
      </c>
      <c r="K114" t="s">
        <v>13</v>
      </c>
      <c r="L114" t="s">
        <v>13</v>
      </c>
    </row>
    <row r="115" spans="1:12">
      <c r="A115" s="16">
        <v>46109</v>
      </c>
      <c r="B115" t="s">
        <v>1102</v>
      </c>
      <c r="C115" t="s">
        <v>438</v>
      </c>
      <c r="D115">
        <v>8130086104</v>
      </c>
      <c r="F115">
        <v>18945</v>
      </c>
      <c r="H115" t="s">
        <v>1104</v>
      </c>
      <c r="I115" s="5">
        <f>649+1200+150+625</f>
        <v>2624</v>
      </c>
      <c r="J115" t="s">
        <v>113</v>
      </c>
      <c r="K115" t="s">
        <v>13</v>
      </c>
      <c r="L115" t="s">
        <v>13</v>
      </c>
    </row>
    <row r="116" spans="1:12">
      <c r="A116" s="16">
        <v>46109</v>
      </c>
      <c r="B116" t="s">
        <v>1105</v>
      </c>
      <c r="C116" t="s">
        <v>1103</v>
      </c>
      <c r="D116">
        <v>8470945135</v>
      </c>
      <c r="F116">
        <v>39116</v>
      </c>
      <c r="H116" t="s">
        <v>1108</v>
      </c>
      <c r="I116" s="5">
        <f>649+250</f>
        <v>899</v>
      </c>
      <c r="J116" t="s">
        <v>113</v>
      </c>
      <c r="K116" t="s">
        <v>13</v>
      </c>
      <c r="L116" t="s">
        <v>13</v>
      </c>
    </row>
    <row r="117" spans="1:12">
      <c r="A117" s="16">
        <v>46109</v>
      </c>
      <c r="B117" t="s">
        <v>1043</v>
      </c>
      <c r="C117" t="s">
        <v>1043</v>
      </c>
      <c r="D117" t="s">
        <v>1043</v>
      </c>
      <c r="F117" t="s">
        <v>1043</v>
      </c>
      <c r="H117" t="s">
        <v>1107</v>
      </c>
      <c r="I117" s="5">
        <v>750</v>
      </c>
      <c r="J117" t="s">
        <v>113</v>
      </c>
      <c r="K117" t="s">
        <v>13</v>
      </c>
      <c r="L117" t="s">
        <v>13</v>
      </c>
    </row>
    <row r="118" spans="1:12">
      <c r="A118" s="16">
        <v>46110</v>
      </c>
      <c r="B118" t="s">
        <v>1109</v>
      </c>
      <c r="C118" t="s">
        <v>1110</v>
      </c>
      <c r="D118">
        <v>9555740323</v>
      </c>
      <c r="F118">
        <v>25751</v>
      </c>
      <c r="H118" t="s">
        <v>1111</v>
      </c>
      <c r="I118">
        <v>2901</v>
      </c>
      <c r="J118" t="s">
        <v>113</v>
      </c>
      <c r="K118" t="s">
        <v>18</v>
      </c>
      <c r="L118" t="s">
        <v>18</v>
      </c>
    </row>
    <row r="119" spans="1:12">
      <c r="A119" s="16">
        <v>46110</v>
      </c>
      <c r="B119" t="s">
        <v>1112</v>
      </c>
      <c r="C119" t="s">
        <v>491</v>
      </c>
      <c r="D119">
        <v>9871483146</v>
      </c>
      <c r="F119">
        <v>14991</v>
      </c>
      <c r="H119" t="s">
        <v>1113</v>
      </c>
      <c r="I119">
        <f>1885+750+1007</f>
        <v>3642</v>
      </c>
      <c r="J119" t="s">
        <v>113</v>
      </c>
      <c r="K119" t="s">
        <v>18</v>
      </c>
      <c r="L119" t="s">
        <v>18</v>
      </c>
    </row>
    <row r="120" spans="1:12">
      <c r="A120" s="16">
        <v>46110</v>
      </c>
      <c r="B120" t="s">
        <v>150</v>
      </c>
      <c r="C120" t="s">
        <v>149</v>
      </c>
      <c r="D120">
        <v>8285771136</v>
      </c>
      <c r="F120">
        <v>58274</v>
      </c>
      <c r="H120" t="s">
        <v>1114</v>
      </c>
      <c r="I120">
        <f>1352+1000+486</f>
        <v>2838</v>
      </c>
      <c r="J120" t="s">
        <v>1115</v>
      </c>
      <c r="K120" t="s">
        <v>13</v>
      </c>
      <c r="L120" t="s">
        <v>13</v>
      </c>
    </row>
    <row r="121" spans="1:12">
      <c r="A121" s="16">
        <v>46110</v>
      </c>
      <c r="B121" t="s">
        <v>885</v>
      </c>
      <c r="C121" t="s">
        <v>886</v>
      </c>
      <c r="D121">
        <v>9911197546</v>
      </c>
      <c r="F121">
        <v>10716</v>
      </c>
      <c r="H121" t="s">
        <v>580</v>
      </c>
      <c r="I121">
        <v>1352</v>
      </c>
      <c r="J121" t="s">
        <v>113</v>
      </c>
      <c r="K121" t="s">
        <v>13</v>
      </c>
      <c r="L121" t="s">
        <v>13</v>
      </c>
    </row>
    <row r="122" spans="1:12">
      <c r="A122" s="16">
        <v>46110</v>
      </c>
      <c r="B122" t="s">
        <v>1116</v>
      </c>
      <c r="C122" t="s">
        <v>1117</v>
      </c>
      <c r="D122">
        <v>8287523103</v>
      </c>
      <c r="F122">
        <v>54919</v>
      </c>
      <c r="H122" t="s">
        <v>1119</v>
      </c>
      <c r="I122">
        <f>3826+50+100</f>
        <v>3976</v>
      </c>
      <c r="J122" t="s">
        <v>113</v>
      </c>
      <c r="K122" t="s">
        <v>13</v>
      </c>
      <c r="L122" t="s">
        <v>13</v>
      </c>
    </row>
    <row r="123" spans="1:12">
      <c r="A123" s="16">
        <v>46110</v>
      </c>
      <c r="B123" t="s">
        <v>716</v>
      </c>
      <c r="C123" t="s">
        <v>717</v>
      </c>
      <c r="D123">
        <v>8628809659</v>
      </c>
      <c r="F123">
        <v>64408</v>
      </c>
      <c r="H123" t="s">
        <v>1118</v>
      </c>
      <c r="I123">
        <v>625</v>
      </c>
      <c r="J123" t="s">
        <v>113</v>
      </c>
      <c r="K123" t="s">
        <v>13</v>
      </c>
      <c r="L123" t="s">
        <v>13</v>
      </c>
    </row>
    <row r="124" spans="1:12">
      <c r="A124" s="16">
        <v>46110</v>
      </c>
      <c r="B124" t="s">
        <v>968</v>
      </c>
      <c r="C124" t="s">
        <v>154</v>
      </c>
      <c r="D124">
        <v>9350166122</v>
      </c>
      <c r="F124">
        <v>51645</v>
      </c>
      <c r="H124" t="s">
        <v>344</v>
      </c>
      <c r="I124">
        <v>800</v>
      </c>
      <c r="J124" t="s">
        <v>113</v>
      </c>
      <c r="K124" t="s">
        <v>13</v>
      </c>
      <c r="L124" t="s">
        <v>13</v>
      </c>
    </row>
    <row r="125" spans="1:12">
      <c r="A125" s="16">
        <v>46111</v>
      </c>
      <c r="B125" t="s">
        <v>1121</v>
      </c>
      <c r="C125" t="s">
        <v>1120</v>
      </c>
      <c r="D125">
        <v>9911563252</v>
      </c>
      <c r="F125">
        <v>15423</v>
      </c>
      <c r="H125" t="s">
        <v>1122</v>
      </c>
      <c r="I125">
        <v>1885</v>
      </c>
      <c r="J125" t="s">
        <v>113</v>
      </c>
      <c r="K125" t="s">
        <v>13</v>
      </c>
      <c r="L125" t="s">
        <v>13</v>
      </c>
    </row>
    <row r="126" spans="1:12">
      <c r="A126" s="16">
        <v>46111</v>
      </c>
      <c r="B126" t="s">
        <v>1123</v>
      </c>
      <c r="C126" t="s">
        <v>1124</v>
      </c>
      <c r="D126">
        <v>9899744764</v>
      </c>
      <c r="F126">
        <v>20345</v>
      </c>
      <c r="H126" t="s">
        <v>580</v>
      </c>
      <c r="I126">
        <v>1352</v>
      </c>
      <c r="J126" t="s">
        <v>113</v>
      </c>
      <c r="K126" t="s">
        <v>13</v>
      </c>
      <c r="L126" t="s">
        <v>13</v>
      </c>
    </row>
    <row r="127" spans="1:12">
      <c r="A127" s="16">
        <v>46111</v>
      </c>
      <c r="B127" t="s">
        <v>1126</v>
      </c>
      <c r="C127" t="s">
        <v>1125</v>
      </c>
      <c r="D127">
        <v>9654109913</v>
      </c>
      <c r="F127">
        <v>36093</v>
      </c>
      <c r="H127" t="s">
        <v>37</v>
      </c>
      <c r="I127">
        <v>649</v>
      </c>
      <c r="J127" t="s">
        <v>113</v>
      </c>
      <c r="K127" t="s">
        <v>13</v>
      </c>
      <c r="L127" t="s">
        <v>13</v>
      </c>
    </row>
    <row r="128" spans="1:12">
      <c r="A128" s="16">
        <v>46111</v>
      </c>
      <c r="C128" t="s">
        <v>866</v>
      </c>
      <c r="D128">
        <v>9582726573</v>
      </c>
      <c r="H128" t="s">
        <v>1127</v>
      </c>
      <c r="I128">
        <v>2100</v>
      </c>
      <c r="J128" t="s">
        <v>126</v>
      </c>
      <c r="K128" t="s">
        <v>13</v>
      </c>
      <c r="L128" t="s">
        <v>13</v>
      </c>
    </row>
    <row r="1048576" spans="1:1">
      <c r="A1048576" s="16"/>
    </row>
  </sheetData>
  <autoFilter ref="A2:L128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tabSelected="1" topLeftCell="A60" workbookViewId="0">
      <selection activeCell="A70" sqref="A70"/>
    </sheetView>
  </sheetViews>
  <sheetFormatPr defaultRowHeight="15"/>
  <cols>
    <col min="1" max="1" width="11.5703125" bestFit="1" customWidth="1"/>
    <col min="2" max="2" width="12.140625" bestFit="1" customWidth="1"/>
    <col min="3" max="3" width="21.42578125" customWidth="1"/>
    <col min="4" max="4" width="13.28515625" customWidth="1"/>
    <col min="5" max="5" width="13.85546875" customWidth="1"/>
    <col min="6" max="6" width="8.7109375" customWidth="1"/>
    <col min="7" max="7" width="11" bestFit="1" customWidth="1"/>
    <col min="8" max="8" width="92" bestFit="1" customWidth="1"/>
    <col min="9" max="9" width="8.140625" style="20" bestFit="1" customWidth="1"/>
    <col min="10" max="10" width="18.5703125" bestFit="1" customWidth="1"/>
    <col min="11" max="11" width="16.5703125" bestFit="1" customWidth="1"/>
    <col min="12" max="12" width="15" bestFit="1" customWidth="1"/>
  </cols>
  <sheetData>
    <row r="1" spans="1:12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112</v>
      </c>
      <c r="G1" t="s">
        <v>5</v>
      </c>
      <c r="H1" t="s">
        <v>4</v>
      </c>
      <c r="I1" s="20" t="s">
        <v>6</v>
      </c>
      <c r="J1" t="s">
        <v>10</v>
      </c>
      <c r="K1" t="s">
        <v>12</v>
      </c>
      <c r="L1" t="s">
        <v>14</v>
      </c>
    </row>
    <row r="2" spans="1:12">
      <c r="A2" s="16">
        <v>46113</v>
      </c>
      <c r="C2" t="s">
        <v>1129</v>
      </c>
      <c r="H2" t="s">
        <v>1128</v>
      </c>
      <c r="I2" s="20">
        <v>150</v>
      </c>
      <c r="J2" t="s">
        <v>113</v>
      </c>
      <c r="K2" t="s">
        <v>13</v>
      </c>
      <c r="L2" t="s">
        <v>13</v>
      </c>
    </row>
    <row r="3" spans="1:12">
      <c r="A3" s="16">
        <v>46113</v>
      </c>
      <c r="B3" t="s">
        <v>1133</v>
      </c>
      <c r="C3" t="s">
        <v>1134</v>
      </c>
      <c r="D3">
        <v>8368614148</v>
      </c>
      <c r="F3">
        <v>62087</v>
      </c>
      <c r="G3" t="s">
        <v>18</v>
      </c>
      <c r="H3" t="s">
        <v>1135</v>
      </c>
      <c r="I3" s="20">
        <v>2700</v>
      </c>
      <c r="J3" t="s">
        <v>126</v>
      </c>
      <c r="K3" t="s">
        <v>13</v>
      </c>
      <c r="L3" t="s">
        <v>13</v>
      </c>
    </row>
    <row r="4" spans="1:12">
      <c r="A4" s="16">
        <v>46113</v>
      </c>
      <c r="B4" t="s">
        <v>992</v>
      </c>
      <c r="C4" t="s">
        <v>990</v>
      </c>
      <c r="D4">
        <v>9268075916</v>
      </c>
      <c r="F4">
        <v>23011</v>
      </c>
      <c r="G4" s="8" t="s">
        <v>18</v>
      </c>
      <c r="H4" t="s">
        <v>606</v>
      </c>
      <c r="I4" s="20">
        <v>1656</v>
      </c>
      <c r="J4" t="s">
        <v>113</v>
      </c>
      <c r="K4" t="s">
        <v>13</v>
      </c>
      <c r="L4" t="s">
        <v>13</v>
      </c>
    </row>
    <row r="5" spans="1:12">
      <c r="A5" s="16">
        <v>46113</v>
      </c>
      <c r="B5" t="s">
        <v>1137</v>
      </c>
      <c r="C5" t="s">
        <v>1136</v>
      </c>
      <c r="D5">
        <v>8377089848</v>
      </c>
      <c r="F5">
        <v>18672</v>
      </c>
      <c r="G5" t="s">
        <v>18</v>
      </c>
      <c r="H5" t="s">
        <v>1141</v>
      </c>
      <c r="I5" s="20">
        <f>649+675+50+150</f>
        <v>1524</v>
      </c>
      <c r="J5" t="s">
        <v>113</v>
      </c>
      <c r="K5" t="s">
        <v>13</v>
      </c>
      <c r="L5" t="s">
        <v>13</v>
      </c>
    </row>
    <row r="6" spans="1:12">
      <c r="A6" s="16">
        <v>46113</v>
      </c>
      <c r="B6" t="s">
        <v>1138</v>
      </c>
      <c r="C6" t="s">
        <v>1139</v>
      </c>
      <c r="D6">
        <v>7015957587</v>
      </c>
      <c r="F6">
        <v>63900</v>
      </c>
      <c r="G6" t="s">
        <v>18</v>
      </c>
      <c r="H6" t="s">
        <v>1140</v>
      </c>
      <c r="I6" s="20">
        <v>675</v>
      </c>
      <c r="J6" t="s">
        <v>126</v>
      </c>
      <c r="K6" t="s">
        <v>13</v>
      </c>
      <c r="L6" t="s">
        <v>13</v>
      </c>
    </row>
    <row r="7" spans="1:12">
      <c r="A7" s="16">
        <v>46113</v>
      </c>
      <c r="B7" t="s">
        <v>1142</v>
      </c>
      <c r="C7" t="s">
        <v>1143</v>
      </c>
      <c r="D7">
        <v>8295531803</v>
      </c>
      <c r="F7">
        <v>75100</v>
      </c>
      <c r="G7" t="s">
        <v>13</v>
      </c>
      <c r="H7" t="s">
        <v>1144</v>
      </c>
      <c r="I7" s="20">
        <v>4887</v>
      </c>
      <c r="J7" t="s">
        <v>113</v>
      </c>
      <c r="K7" t="s">
        <v>13</v>
      </c>
      <c r="L7" t="s">
        <v>13</v>
      </c>
    </row>
    <row r="8" spans="1:12">
      <c r="A8" s="16">
        <v>46114</v>
      </c>
      <c r="B8" t="s">
        <v>766</v>
      </c>
      <c r="C8" t="s">
        <v>1145</v>
      </c>
      <c r="D8">
        <v>9015798700</v>
      </c>
      <c r="F8">
        <v>61568</v>
      </c>
      <c r="G8" t="s">
        <v>18</v>
      </c>
      <c r="H8" t="s">
        <v>1146</v>
      </c>
      <c r="I8" s="20">
        <f>1007+950</f>
        <v>1957</v>
      </c>
      <c r="J8" t="s">
        <v>113</v>
      </c>
      <c r="K8" t="s">
        <v>13</v>
      </c>
      <c r="L8" t="s">
        <v>13</v>
      </c>
    </row>
    <row r="9" spans="1:12">
      <c r="A9" s="16">
        <v>46114</v>
      </c>
      <c r="B9" t="s">
        <v>1147</v>
      </c>
      <c r="C9" t="s">
        <v>1148</v>
      </c>
      <c r="D9">
        <v>8287737556</v>
      </c>
      <c r="F9">
        <v>18564</v>
      </c>
      <c r="G9" t="s">
        <v>18</v>
      </c>
      <c r="H9" t="s">
        <v>1149</v>
      </c>
      <c r="I9" s="20">
        <v>7500</v>
      </c>
      <c r="J9" t="s">
        <v>126</v>
      </c>
      <c r="K9" t="s">
        <v>13</v>
      </c>
      <c r="L9" t="s">
        <v>13</v>
      </c>
    </row>
    <row r="10" spans="1:12">
      <c r="A10" s="16">
        <v>46114</v>
      </c>
      <c r="B10" t="s">
        <v>408</v>
      </c>
      <c r="C10" t="s">
        <v>409</v>
      </c>
      <c r="D10">
        <v>9069608849</v>
      </c>
      <c r="F10">
        <v>27670</v>
      </c>
      <c r="G10" t="s">
        <v>18</v>
      </c>
      <c r="H10" t="s">
        <v>1150</v>
      </c>
      <c r="I10" s="20">
        <f>649+650+750+40</f>
        <v>2089</v>
      </c>
      <c r="J10" t="s">
        <v>113</v>
      </c>
      <c r="K10" t="s">
        <v>13</v>
      </c>
      <c r="L10" t="s">
        <v>13</v>
      </c>
    </row>
    <row r="11" spans="1:12">
      <c r="A11" s="16">
        <v>46115</v>
      </c>
      <c r="B11" t="s">
        <v>1151</v>
      </c>
      <c r="C11" t="s">
        <v>1152</v>
      </c>
      <c r="D11">
        <v>8860561816</v>
      </c>
      <c r="F11">
        <v>5380</v>
      </c>
      <c r="G11" t="s">
        <v>18</v>
      </c>
      <c r="H11" t="s">
        <v>1153</v>
      </c>
      <c r="I11" s="20">
        <f>3980+100</f>
        <v>4080</v>
      </c>
      <c r="J11" t="s">
        <v>126</v>
      </c>
      <c r="K11" t="s">
        <v>13</v>
      </c>
      <c r="L11" t="s">
        <v>13</v>
      </c>
    </row>
    <row r="12" spans="1:12">
      <c r="A12" s="16">
        <v>46115</v>
      </c>
      <c r="B12" t="s">
        <v>1154</v>
      </c>
      <c r="C12" t="s">
        <v>1156</v>
      </c>
      <c r="D12">
        <v>7073838555</v>
      </c>
      <c r="F12">
        <v>4995</v>
      </c>
      <c r="G12" t="s">
        <v>18</v>
      </c>
      <c r="H12" t="s">
        <v>1155</v>
      </c>
      <c r="I12" s="20">
        <v>6500</v>
      </c>
      <c r="J12" s="18" t="s">
        <v>113</v>
      </c>
      <c r="K12" t="s">
        <v>13</v>
      </c>
      <c r="L12" t="s">
        <v>13</v>
      </c>
    </row>
    <row r="13" spans="1:12">
      <c r="A13" s="16">
        <v>46115</v>
      </c>
      <c r="B13" t="s">
        <v>345</v>
      </c>
      <c r="C13" t="s">
        <v>1157</v>
      </c>
      <c r="D13" s="8">
        <v>9015411420</v>
      </c>
      <c r="F13">
        <v>23002</v>
      </c>
      <c r="G13" t="s">
        <v>13</v>
      </c>
      <c r="H13" t="s">
        <v>151</v>
      </c>
      <c r="I13" s="20">
        <v>750</v>
      </c>
      <c r="J13" s="18" t="s">
        <v>113</v>
      </c>
      <c r="K13" t="s">
        <v>13</v>
      </c>
      <c r="L13" t="s">
        <v>13</v>
      </c>
    </row>
    <row r="14" spans="1:12">
      <c r="A14" s="16">
        <v>46115</v>
      </c>
      <c r="B14" t="s">
        <v>527</v>
      </c>
      <c r="C14" t="s">
        <v>526</v>
      </c>
      <c r="D14">
        <v>9958447886</v>
      </c>
      <c r="F14">
        <v>15727</v>
      </c>
      <c r="G14" t="s">
        <v>18</v>
      </c>
      <c r="H14" t="s">
        <v>37</v>
      </c>
      <c r="I14" s="20">
        <v>649</v>
      </c>
      <c r="J14" s="18" t="s">
        <v>113</v>
      </c>
      <c r="K14" t="s">
        <v>13</v>
      </c>
      <c r="L14" t="s">
        <v>13</v>
      </c>
    </row>
    <row r="15" spans="1:12">
      <c r="A15" s="16">
        <v>46116</v>
      </c>
      <c r="B15" t="s">
        <v>1158</v>
      </c>
      <c r="C15" t="s">
        <v>1159</v>
      </c>
      <c r="D15">
        <v>7078665936</v>
      </c>
      <c r="F15">
        <v>25000</v>
      </c>
      <c r="G15" t="s">
        <v>18</v>
      </c>
      <c r="H15" t="s">
        <v>1160</v>
      </c>
      <c r="I15" s="20">
        <v>2200</v>
      </c>
      <c r="J15" s="18" t="s">
        <v>113</v>
      </c>
      <c r="K15" t="s">
        <v>13</v>
      </c>
      <c r="L15" t="s">
        <v>13</v>
      </c>
    </row>
    <row r="16" spans="1:12">
      <c r="A16" s="16">
        <v>46116</v>
      </c>
      <c r="B16" t="s">
        <v>1161</v>
      </c>
      <c r="C16" t="s">
        <v>198</v>
      </c>
      <c r="D16">
        <v>7982115011</v>
      </c>
      <c r="F16">
        <v>5867</v>
      </c>
      <c r="G16" t="s">
        <v>18</v>
      </c>
      <c r="H16" t="s">
        <v>1162</v>
      </c>
      <c r="I16" s="20">
        <v>2074</v>
      </c>
      <c r="J16" s="18" t="s">
        <v>113</v>
      </c>
      <c r="K16" t="s">
        <v>13</v>
      </c>
      <c r="L16" t="s">
        <v>13</v>
      </c>
    </row>
    <row r="17" spans="1:12">
      <c r="A17" s="16">
        <v>46116</v>
      </c>
      <c r="B17" t="s">
        <v>1163</v>
      </c>
      <c r="C17" t="s">
        <v>357</v>
      </c>
      <c r="D17">
        <v>9718506855</v>
      </c>
      <c r="F17">
        <v>25000</v>
      </c>
      <c r="G17" t="s">
        <v>18</v>
      </c>
      <c r="H17" t="s">
        <v>141</v>
      </c>
      <c r="I17" s="20">
        <v>1075</v>
      </c>
      <c r="J17" s="18" t="s">
        <v>113</v>
      </c>
      <c r="K17" t="s">
        <v>13</v>
      </c>
      <c r="L17" t="s">
        <v>13</v>
      </c>
    </row>
    <row r="18" spans="1:12">
      <c r="A18" s="16">
        <v>46116</v>
      </c>
      <c r="B18" t="s">
        <v>179</v>
      </c>
      <c r="C18" t="s">
        <v>74</v>
      </c>
      <c r="F18">
        <v>40082</v>
      </c>
      <c r="G18" t="s">
        <v>18</v>
      </c>
      <c r="H18" t="s">
        <v>1164</v>
      </c>
      <c r="I18" s="20">
        <v>1600</v>
      </c>
      <c r="J18" s="18" t="s">
        <v>126</v>
      </c>
      <c r="K18" t="s">
        <v>13</v>
      </c>
      <c r="L18" t="s">
        <v>13</v>
      </c>
    </row>
    <row r="19" spans="1:12">
      <c r="A19" s="16">
        <v>46116</v>
      </c>
      <c r="B19" t="s">
        <v>1165</v>
      </c>
      <c r="C19" t="s">
        <v>1167</v>
      </c>
      <c r="D19">
        <v>7082321457</v>
      </c>
      <c r="F19">
        <v>17000</v>
      </c>
      <c r="G19" t="s">
        <v>18</v>
      </c>
      <c r="H19" t="s">
        <v>1166</v>
      </c>
      <c r="I19" s="20">
        <v>16725</v>
      </c>
      <c r="J19" s="18" t="s">
        <v>113</v>
      </c>
      <c r="K19" t="s">
        <v>13</v>
      </c>
      <c r="L19" t="s">
        <v>13</v>
      </c>
    </row>
    <row r="20" spans="1:12">
      <c r="A20" s="16">
        <v>46117</v>
      </c>
      <c r="B20" t="s">
        <v>865</v>
      </c>
      <c r="C20" t="s">
        <v>866</v>
      </c>
      <c r="D20">
        <v>9582726573</v>
      </c>
      <c r="F20">
        <v>38252</v>
      </c>
      <c r="G20" t="s">
        <v>13</v>
      </c>
      <c r="H20" t="s">
        <v>1168</v>
      </c>
      <c r="I20" s="20">
        <v>6051</v>
      </c>
      <c r="J20" s="18" t="s">
        <v>113</v>
      </c>
      <c r="K20" t="s">
        <v>13</v>
      </c>
      <c r="L20" t="s">
        <v>13</v>
      </c>
    </row>
    <row r="21" spans="1:12">
      <c r="A21" s="16">
        <v>46117</v>
      </c>
      <c r="B21" t="s">
        <v>1169</v>
      </c>
      <c r="C21" t="s">
        <v>102</v>
      </c>
      <c r="D21">
        <v>9627375052</v>
      </c>
      <c r="F21">
        <v>26917</v>
      </c>
      <c r="G21" t="s">
        <v>18</v>
      </c>
      <c r="H21" t="s">
        <v>1170</v>
      </c>
      <c r="I21" s="20">
        <v>10700</v>
      </c>
      <c r="J21" s="20" t="s">
        <v>1171</v>
      </c>
      <c r="K21" t="s">
        <v>13</v>
      </c>
      <c r="L21" t="s">
        <v>13</v>
      </c>
    </row>
    <row r="22" spans="1:12">
      <c r="A22" s="16">
        <v>46117</v>
      </c>
      <c r="B22" t="s">
        <v>212</v>
      </c>
      <c r="C22" t="s">
        <v>1172</v>
      </c>
      <c r="D22">
        <v>8700016591</v>
      </c>
      <c r="F22">
        <v>21098</v>
      </c>
      <c r="G22" t="s">
        <v>18</v>
      </c>
      <c r="H22" t="s">
        <v>1173</v>
      </c>
      <c r="I22" s="20">
        <v>6208</v>
      </c>
      <c r="J22" s="18" t="s">
        <v>113</v>
      </c>
      <c r="K22" t="s">
        <v>18</v>
      </c>
      <c r="L22" t="s">
        <v>18</v>
      </c>
    </row>
    <row r="23" spans="1:12">
      <c r="A23" s="16">
        <v>46117</v>
      </c>
      <c r="B23" t="s">
        <v>1070</v>
      </c>
      <c r="C23" t="s">
        <v>1069</v>
      </c>
      <c r="D23">
        <v>9213718977</v>
      </c>
      <c r="F23">
        <v>49021</v>
      </c>
      <c r="G23" t="s">
        <v>13</v>
      </c>
      <c r="H23" t="s">
        <v>344</v>
      </c>
      <c r="I23" s="20">
        <v>950</v>
      </c>
      <c r="J23" s="18" t="s">
        <v>113</v>
      </c>
      <c r="K23" t="s">
        <v>18</v>
      </c>
      <c r="L23" t="s">
        <v>18</v>
      </c>
    </row>
    <row r="24" spans="1:12">
      <c r="A24" s="16">
        <v>46117</v>
      </c>
      <c r="B24" t="s">
        <v>280</v>
      </c>
      <c r="C24" t="s">
        <v>281</v>
      </c>
      <c r="D24">
        <v>9971717972</v>
      </c>
      <c r="F24">
        <v>47990</v>
      </c>
      <c r="G24" t="s">
        <v>18</v>
      </c>
      <c r="H24" t="s">
        <v>951</v>
      </c>
      <c r="I24" s="20">
        <v>649</v>
      </c>
      <c r="J24" s="18" t="s">
        <v>113</v>
      </c>
      <c r="K24" t="s">
        <v>13</v>
      </c>
      <c r="L24" t="s">
        <v>13</v>
      </c>
    </row>
    <row r="25" spans="1:12">
      <c r="A25" s="16">
        <v>46117</v>
      </c>
      <c r="B25" t="s">
        <v>1174</v>
      </c>
      <c r="C25" t="s">
        <v>1175</v>
      </c>
      <c r="D25">
        <v>9968824222</v>
      </c>
      <c r="F25">
        <v>21811</v>
      </c>
      <c r="G25" t="s">
        <v>18</v>
      </c>
      <c r="H25" t="s">
        <v>1176</v>
      </c>
      <c r="I25" s="20">
        <v>11708</v>
      </c>
      <c r="J25" s="18" t="s">
        <v>113</v>
      </c>
      <c r="K25" t="s">
        <v>13</v>
      </c>
      <c r="L25" t="s">
        <v>13</v>
      </c>
    </row>
    <row r="26" spans="1:12">
      <c r="A26" s="16">
        <v>46117</v>
      </c>
      <c r="B26" t="s">
        <v>1177</v>
      </c>
      <c r="C26" t="s">
        <v>1178</v>
      </c>
      <c r="D26">
        <v>9555799712</v>
      </c>
      <c r="F26">
        <v>64949</v>
      </c>
      <c r="G26" t="s">
        <v>18</v>
      </c>
      <c r="H26" t="s">
        <v>520</v>
      </c>
      <c r="I26" s="20">
        <v>625</v>
      </c>
      <c r="J26" s="18" t="s">
        <v>1179</v>
      </c>
      <c r="K26" t="s">
        <v>13</v>
      </c>
      <c r="L26" t="s">
        <v>13</v>
      </c>
    </row>
    <row r="27" spans="1:12">
      <c r="A27" s="16">
        <v>46117</v>
      </c>
      <c r="B27" t="s">
        <v>1180</v>
      </c>
      <c r="C27" t="s">
        <v>1181</v>
      </c>
      <c r="D27">
        <v>9958929693</v>
      </c>
      <c r="F27">
        <v>42000</v>
      </c>
      <c r="G27" t="s">
        <v>18</v>
      </c>
      <c r="H27" t="s">
        <v>545</v>
      </c>
      <c r="I27" s="20">
        <v>4257</v>
      </c>
      <c r="J27" s="18" t="s">
        <v>113</v>
      </c>
      <c r="K27" t="s">
        <v>13</v>
      </c>
      <c r="L27" t="s">
        <v>13</v>
      </c>
    </row>
    <row r="28" spans="1:12">
      <c r="A28" s="16">
        <v>46118</v>
      </c>
      <c r="B28" t="s">
        <v>1182</v>
      </c>
      <c r="C28" t="s">
        <v>168</v>
      </c>
      <c r="D28">
        <v>8470903717</v>
      </c>
      <c r="F28">
        <v>38654</v>
      </c>
      <c r="G28" t="s">
        <v>13</v>
      </c>
      <c r="H28" t="s">
        <v>1183</v>
      </c>
      <c r="I28" s="20">
        <f>1000+425+500</f>
        <v>1925</v>
      </c>
      <c r="J28" s="18" t="s">
        <v>126</v>
      </c>
      <c r="K28" t="s">
        <v>13</v>
      </c>
      <c r="L28" t="s">
        <v>13</v>
      </c>
    </row>
    <row r="29" spans="1:12">
      <c r="A29" s="16">
        <v>46118</v>
      </c>
      <c r="B29" t="s">
        <v>820</v>
      </c>
      <c r="C29" t="s">
        <v>1184</v>
      </c>
      <c r="D29">
        <v>9582880651</v>
      </c>
      <c r="F29">
        <v>38098</v>
      </c>
      <c r="G29" t="s">
        <v>18</v>
      </c>
      <c r="H29" t="s">
        <v>422</v>
      </c>
      <c r="I29" s="20">
        <v>4886</v>
      </c>
      <c r="J29" s="18" t="s">
        <v>113</v>
      </c>
      <c r="K29" t="s">
        <v>13</v>
      </c>
      <c r="L29" t="s">
        <v>13</v>
      </c>
    </row>
    <row r="30" spans="1:12">
      <c r="A30" s="16">
        <v>46118</v>
      </c>
      <c r="B30" t="s">
        <v>1185</v>
      </c>
      <c r="C30" t="s">
        <v>1187</v>
      </c>
      <c r="D30">
        <v>9818295042</v>
      </c>
      <c r="F30">
        <v>34181</v>
      </c>
      <c r="G30" t="s">
        <v>18</v>
      </c>
      <c r="H30" t="s">
        <v>1186</v>
      </c>
      <c r="I30" s="20">
        <f>649+1007+500</f>
        <v>2156</v>
      </c>
      <c r="J30" s="18" t="s">
        <v>113</v>
      </c>
      <c r="K30" t="s">
        <v>18</v>
      </c>
      <c r="L30" t="s">
        <v>18</v>
      </c>
    </row>
    <row r="31" spans="1:12">
      <c r="A31" s="16">
        <v>46118</v>
      </c>
      <c r="B31" t="s">
        <v>1188</v>
      </c>
      <c r="C31" t="s">
        <v>1189</v>
      </c>
      <c r="D31">
        <v>7982365091</v>
      </c>
      <c r="F31">
        <v>26932</v>
      </c>
      <c r="G31" t="s">
        <v>18</v>
      </c>
      <c r="H31" t="s">
        <v>1190</v>
      </c>
      <c r="I31" s="20">
        <v>14800</v>
      </c>
      <c r="J31" s="18" t="s">
        <v>113</v>
      </c>
      <c r="K31" t="s">
        <v>13</v>
      </c>
      <c r="L31" t="s">
        <v>13</v>
      </c>
    </row>
    <row r="32" spans="1:12">
      <c r="A32" s="16">
        <v>46118</v>
      </c>
      <c r="B32" t="s">
        <v>1191</v>
      </c>
      <c r="C32" t="s">
        <v>1192</v>
      </c>
      <c r="D32">
        <v>9999600325</v>
      </c>
      <c r="F32">
        <v>79750</v>
      </c>
      <c r="G32" t="s">
        <v>18</v>
      </c>
      <c r="H32" t="s">
        <v>864</v>
      </c>
      <c r="I32" s="20">
        <f>4257</f>
        <v>4257</v>
      </c>
      <c r="J32" s="18" t="s">
        <v>113</v>
      </c>
      <c r="K32" t="s">
        <v>13</v>
      </c>
      <c r="L32" t="s">
        <v>13</v>
      </c>
    </row>
    <row r="33" spans="1:12">
      <c r="A33" s="16">
        <v>46120</v>
      </c>
      <c r="B33" t="s">
        <v>294</v>
      </c>
      <c r="C33" t="s">
        <v>1194</v>
      </c>
      <c r="D33">
        <v>9899295349</v>
      </c>
      <c r="F33">
        <v>61745</v>
      </c>
      <c r="G33" t="s">
        <v>18</v>
      </c>
      <c r="H33" t="s">
        <v>1193</v>
      </c>
      <c r="I33" s="20">
        <f>850+1007+625</f>
        <v>2482</v>
      </c>
      <c r="J33" s="18" t="s">
        <v>113</v>
      </c>
      <c r="K33" t="s">
        <v>13</v>
      </c>
      <c r="L33" t="s">
        <v>13</v>
      </c>
    </row>
    <row r="34" spans="1:12">
      <c r="A34" s="16">
        <v>46120</v>
      </c>
      <c r="B34" t="s">
        <v>1195</v>
      </c>
      <c r="C34" t="s">
        <v>376</v>
      </c>
      <c r="D34">
        <v>9568680787</v>
      </c>
      <c r="F34">
        <v>5800</v>
      </c>
      <c r="G34" t="s">
        <v>18</v>
      </c>
      <c r="H34" t="s">
        <v>1196</v>
      </c>
      <c r="I34" s="20">
        <v>400</v>
      </c>
      <c r="J34" s="18" t="s">
        <v>113</v>
      </c>
      <c r="K34" t="s">
        <v>13</v>
      </c>
      <c r="L34" t="s">
        <v>13</v>
      </c>
    </row>
    <row r="35" spans="1:12">
      <c r="A35" s="16">
        <v>46120</v>
      </c>
      <c r="B35" t="s">
        <v>1197</v>
      </c>
      <c r="C35" t="s">
        <v>1199</v>
      </c>
      <c r="D35">
        <v>9212764490</v>
      </c>
      <c r="F35">
        <v>49208</v>
      </c>
      <c r="G35" t="s">
        <v>13</v>
      </c>
      <c r="H35" t="s">
        <v>1198</v>
      </c>
      <c r="I35" s="20">
        <v>2500</v>
      </c>
      <c r="J35" s="18" t="s">
        <v>113</v>
      </c>
      <c r="K35" t="s">
        <v>13</v>
      </c>
      <c r="L35" t="s">
        <v>13</v>
      </c>
    </row>
    <row r="36" spans="1:12">
      <c r="A36" s="16">
        <v>46120</v>
      </c>
      <c r="B36" t="s">
        <v>1200</v>
      </c>
      <c r="C36" t="s">
        <v>1201</v>
      </c>
      <c r="D36">
        <v>8840434393</v>
      </c>
      <c r="F36">
        <v>33327</v>
      </c>
      <c r="G36" t="s">
        <v>13</v>
      </c>
      <c r="H36" t="s">
        <v>1202</v>
      </c>
      <c r="I36" s="20">
        <f>4887+1500</f>
        <v>6387</v>
      </c>
      <c r="J36" s="18" t="s">
        <v>113</v>
      </c>
      <c r="K36" t="s">
        <v>13</v>
      </c>
      <c r="L36" t="s">
        <v>13</v>
      </c>
    </row>
    <row r="37" spans="1:12">
      <c r="A37" s="16">
        <v>46122</v>
      </c>
      <c r="B37" t="s">
        <v>583</v>
      </c>
      <c r="C37" t="s">
        <v>1203</v>
      </c>
      <c r="D37">
        <v>9560459224</v>
      </c>
      <c r="F37">
        <v>61991</v>
      </c>
      <c r="G37" t="s">
        <v>18</v>
      </c>
      <c r="H37" t="s">
        <v>545</v>
      </c>
      <c r="I37" s="20">
        <v>4257</v>
      </c>
      <c r="J37" s="18" t="s">
        <v>1204</v>
      </c>
      <c r="K37" t="s">
        <v>13</v>
      </c>
      <c r="L37" t="s">
        <v>13</v>
      </c>
    </row>
    <row r="38" spans="1:12">
      <c r="A38" s="16">
        <v>46122</v>
      </c>
      <c r="B38" s="8" t="s">
        <v>1206</v>
      </c>
      <c r="C38" t="s">
        <v>1205</v>
      </c>
      <c r="D38">
        <v>8448205569</v>
      </c>
      <c r="F38">
        <v>5891</v>
      </c>
      <c r="G38" t="s">
        <v>18</v>
      </c>
      <c r="H38" t="s">
        <v>1247</v>
      </c>
      <c r="I38" s="20">
        <f>675+1200</f>
        <v>1875</v>
      </c>
      <c r="J38" s="18" t="s">
        <v>113</v>
      </c>
      <c r="K38" t="s">
        <v>13</v>
      </c>
      <c r="L38" t="s">
        <v>13</v>
      </c>
    </row>
    <row r="39" spans="1:12">
      <c r="A39" s="16">
        <v>46122</v>
      </c>
      <c r="B39" t="s">
        <v>430</v>
      </c>
      <c r="C39" t="s">
        <v>431</v>
      </c>
      <c r="D39">
        <v>8851572600</v>
      </c>
      <c r="F39">
        <v>26895</v>
      </c>
      <c r="G39" t="s">
        <v>18</v>
      </c>
      <c r="H39" t="s">
        <v>623</v>
      </c>
      <c r="I39" s="20">
        <v>1420</v>
      </c>
      <c r="J39" s="18" t="s">
        <v>126</v>
      </c>
      <c r="K39" t="s">
        <v>13</v>
      </c>
      <c r="L39" t="s">
        <v>13</v>
      </c>
    </row>
    <row r="40" spans="1:12">
      <c r="A40" s="16">
        <v>46122</v>
      </c>
      <c r="B40" t="s">
        <v>1208</v>
      </c>
      <c r="C40" t="s">
        <v>1207</v>
      </c>
      <c r="D40">
        <v>9717975667</v>
      </c>
      <c r="F40">
        <v>11606</v>
      </c>
      <c r="G40" t="s">
        <v>18</v>
      </c>
      <c r="H40" t="s">
        <v>141</v>
      </c>
      <c r="I40" s="20">
        <v>1075</v>
      </c>
      <c r="J40" s="18" t="s">
        <v>126</v>
      </c>
      <c r="K40" t="s">
        <v>13</v>
      </c>
      <c r="L40" t="s">
        <v>13</v>
      </c>
    </row>
    <row r="41" spans="1:12">
      <c r="A41" s="16">
        <v>46122</v>
      </c>
      <c r="B41" t="s">
        <v>275</v>
      </c>
      <c r="C41" t="s">
        <v>1209</v>
      </c>
      <c r="D41">
        <v>9871477169</v>
      </c>
      <c r="F41">
        <v>52659</v>
      </c>
      <c r="G41" t="s">
        <v>18</v>
      </c>
      <c r="H41" t="s">
        <v>422</v>
      </c>
      <c r="I41" s="20">
        <v>4887</v>
      </c>
      <c r="J41" s="18" t="s">
        <v>113</v>
      </c>
      <c r="K41" t="s">
        <v>13</v>
      </c>
      <c r="L41" t="s">
        <v>13</v>
      </c>
    </row>
    <row r="42" spans="1:12">
      <c r="A42" s="16">
        <v>46123</v>
      </c>
      <c r="B42" t="s">
        <v>1211</v>
      </c>
      <c r="C42" t="s">
        <v>1210</v>
      </c>
      <c r="D42">
        <v>9821166404</v>
      </c>
      <c r="F42">
        <v>3860</v>
      </c>
      <c r="G42" t="s">
        <v>18</v>
      </c>
      <c r="H42" t="s">
        <v>465</v>
      </c>
      <c r="I42" s="20">
        <v>824</v>
      </c>
      <c r="J42" s="18" t="s">
        <v>113</v>
      </c>
      <c r="K42" t="s">
        <v>13</v>
      </c>
      <c r="L42" t="s">
        <v>13</v>
      </c>
    </row>
    <row r="43" spans="1:12">
      <c r="A43" s="16">
        <v>46123</v>
      </c>
      <c r="B43" t="s">
        <v>676</v>
      </c>
      <c r="C43" t="s">
        <v>677</v>
      </c>
      <c r="D43">
        <v>9555535299</v>
      </c>
      <c r="F43">
        <v>44734</v>
      </c>
      <c r="G43" t="s">
        <v>18</v>
      </c>
      <c r="H43" t="s">
        <v>1212</v>
      </c>
      <c r="I43" s="20">
        <v>775</v>
      </c>
      <c r="J43" s="18" t="s">
        <v>113</v>
      </c>
      <c r="K43" t="s">
        <v>13</v>
      </c>
      <c r="L43" t="s">
        <v>13</v>
      </c>
    </row>
    <row r="44" spans="1:12">
      <c r="A44" s="16">
        <v>46123</v>
      </c>
      <c r="B44" t="s">
        <v>64</v>
      </c>
      <c r="C44" t="s">
        <v>936</v>
      </c>
      <c r="D44">
        <v>7404329866</v>
      </c>
      <c r="F44">
        <v>31901</v>
      </c>
      <c r="G44" t="s">
        <v>18</v>
      </c>
      <c r="H44" t="s">
        <v>37</v>
      </c>
      <c r="I44" s="20">
        <v>649</v>
      </c>
      <c r="J44" s="18" t="s">
        <v>113</v>
      </c>
      <c r="K44" t="s">
        <v>13</v>
      </c>
      <c r="L44" t="s">
        <v>13</v>
      </c>
    </row>
    <row r="45" spans="1:12">
      <c r="A45" s="16">
        <v>46123</v>
      </c>
      <c r="B45" t="s">
        <v>1214</v>
      </c>
      <c r="C45" t="s">
        <v>435</v>
      </c>
      <c r="D45">
        <v>9654386136</v>
      </c>
      <c r="F45">
        <v>10000</v>
      </c>
      <c r="G45" t="s">
        <v>18</v>
      </c>
      <c r="H45" t="s">
        <v>1213</v>
      </c>
      <c r="I45" s="20">
        <v>775</v>
      </c>
      <c r="J45" s="18" t="s">
        <v>113</v>
      </c>
      <c r="K45" t="s">
        <v>13</v>
      </c>
      <c r="L45" t="s">
        <v>13</v>
      </c>
    </row>
    <row r="46" spans="1:12">
      <c r="A46" s="16">
        <v>46123</v>
      </c>
      <c r="B46" t="s">
        <v>20</v>
      </c>
      <c r="C46" t="s">
        <v>21</v>
      </c>
      <c r="D46">
        <v>9968055856</v>
      </c>
      <c r="F46">
        <v>19711</v>
      </c>
      <c r="G46" t="s">
        <v>18</v>
      </c>
      <c r="H46" t="s">
        <v>852</v>
      </c>
      <c r="I46" s="20">
        <v>1885</v>
      </c>
      <c r="J46" s="18" t="s">
        <v>113</v>
      </c>
      <c r="K46" t="s">
        <v>13</v>
      </c>
      <c r="L46" t="s">
        <v>13</v>
      </c>
    </row>
    <row r="47" spans="1:12">
      <c r="A47" s="16">
        <v>46123</v>
      </c>
      <c r="B47" t="s">
        <v>25</v>
      </c>
      <c r="C47" t="s">
        <v>26</v>
      </c>
      <c r="D47">
        <v>9910254037</v>
      </c>
      <c r="F47">
        <v>113000</v>
      </c>
      <c r="G47" t="s">
        <v>13</v>
      </c>
      <c r="H47" t="s">
        <v>1215</v>
      </c>
      <c r="I47" s="20">
        <v>7700</v>
      </c>
      <c r="J47" s="18" t="s">
        <v>126</v>
      </c>
      <c r="K47" t="s">
        <v>13</v>
      </c>
      <c r="L47" t="s">
        <v>13</v>
      </c>
    </row>
    <row r="48" spans="1:12">
      <c r="A48" s="16">
        <v>46124</v>
      </c>
      <c r="B48" t="s">
        <v>1217</v>
      </c>
      <c r="C48" t="s">
        <v>1218</v>
      </c>
      <c r="D48">
        <v>7838753137</v>
      </c>
      <c r="F48">
        <v>26130</v>
      </c>
      <c r="G48" t="s">
        <v>18</v>
      </c>
      <c r="H48" t="s">
        <v>1216</v>
      </c>
      <c r="I48" s="20">
        <v>9200</v>
      </c>
      <c r="J48" s="18" t="s">
        <v>126</v>
      </c>
      <c r="K48" t="s">
        <v>18</v>
      </c>
      <c r="L48" t="s">
        <v>18</v>
      </c>
    </row>
    <row r="49" spans="1:12">
      <c r="A49" s="16">
        <v>46124</v>
      </c>
      <c r="B49" t="s">
        <v>761</v>
      </c>
      <c r="C49" t="s">
        <v>760</v>
      </c>
      <c r="D49">
        <v>9560678384</v>
      </c>
      <c r="F49">
        <v>84533</v>
      </c>
      <c r="G49" t="s">
        <v>13</v>
      </c>
      <c r="H49" t="s">
        <v>1219</v>
      </c>
      <c r="I49" s="20">
        <v>100</v>
      </c>
      <c r="J49" s="18" t="s">
        <v>126</v>
      </c>
      <c r="K49" t="s">
        <v>13</v>
      </c>
      <c r="L49" t="s">
        <v>13</v>
      </c>
    </row>
    <row r="50" spans="1:12">
      <c r="A50" s="16">
        <v>46124</v>
      </c>
      <c r="B50" t="s">
        <v>1221</v>
      </c>
      <c r="C50" t="s">
        <v>1222</v>
      </c>
      <c r="D50">
        <v>8319661521</v>
      </c>
      <c r="F50">
        <v>15908</v>
      </c>
      <c r="G50" t="s">
        <v>18</v>
      </c>
      <c r="H50" t="s">
        <v>1220</v>
      </c>
      <c r="I50" s="20">
        <v>14750</v>
      </c>
      <c r="J50" s="18" t="s">
        <v>1226</v>
      </c>
      <c r="K50" t="s">
        <v>18</v>
      </c>
      <c r="L50" t="s">
        <v>18</v>
      </c>
    </row>
    <row r="51" spans="1:12">
      <c r="A51" s="16">
        <v>46124</v>
      </c>
      <c r="B51" t="s">
        <v>1223</v>
      </c>
      <c r="C51" s="8" t="s">
        <v>1224</v>
      </c>
      <c r="D51">
        <v>9466685967</v>
      </c>
      <c r="F51">
        <v>32958</v>
      </c>
      <c r="G51" t="s">
        <v>18</v>
      </c>
      <c r="H51" t="s">
        <v>1225</v>
      </c>
      <c r="I51" s="20">
        <v>1800</v>
      </c>
      <c r="J51" s="18" t="s">
        <v>126</v>
      </c>
      <c r="K51" t="s">
        <v>13</v>
      </c>
      <c r="L51" t="s">
        <v>13</v>
      </c>
    </row>
    <row r="52" spans="1:12">
      <c r="A52" s="16">
        <v>46124</v>
      </c>
      <c r="B52" t="s">
        <v>610</v>
      </c>
      <c r="C52" s="8" t="s">
        <v>1227</v>
      </c>
      <c r="D52">
        <v>8800518070</v>
      </c>
      <c r="F52">
        <v>12441</v>
      </c>
      <c r="G52" t="s">
        <v>18</v>
      </c>
      <c r="H52" t="s">
        <v>875</v>
      </c>
      <c r="I52" s="20">
        <v>3287</v>
      </c>
      <c r="J52" s="18" t="s">
        <v>113</v>
      </c>
      <c r="K52" t="s">
        <v>13</v>
      </c>
      <c r="L52" t="s">
        <v>13</v>
      </c>
    </row>
    <row r="53" spans="1:12">
      <c r="A53" s="16">
        <v>46124</v>
      </c>
      <c r="B53" t="s">
        <v>833</v>
      </c>
      <c r="C53" t="s">
        <v>834</v>
      </c>
      <c r="D53">
        <v>9149693838</v>
      </c>
      <c r="F53">
        <v>48009</v>
      </c>
      <c r="G53" t="s">
        <v>13</v>
      </c>
      <c r="H53" t="s">
        <v>1228</v>
      </c>
      <c r="I53" s="20">
        <v>300</v>
      </c>
      <c r="J53" s="18" t="s">
        <v>126</v>
      </c>
      <c r="K53" t="s">
        <v>13</v>
      </c>
      <c r="L53" t="s">
        <v>13</v>
      </c>
    </row>
    <row r="54" spans="1:12">
      <c r="A54" s="16">
        <v>46125</v>
      </c>
      <c r="B54" t="s">
        <v>215</v>
      </c>
      <c r="C54" t="s">
        <v>1229</v>
      </c>
      <c r="D54">
        <v>9818442771</v>
      </c>
      <c r="F54">
        <v>2217</v>
      </c>
      <c r="G54" t="s">
        <v>18</v>
      </c>
      <c r="H54" t="s">
        <v>1230</v>
      </c>
      <c r="I54" s="20">
        <f>4887+500+775+775</f>
        <v>6937</v>
      </c>
      <c r="J54" s="18" t="s">
        <v>113</v>
      </c>
      <c r="K54" t="s">
        <v>13</v>
      </c>
      <c r="L54" t="s">
        <v>13</v>
      </c>
    </row>
    <row r="55" spans="1:12">
      <c r="A55" s="16">
        <v>46125</v>
      </c>
      <c r="B55" t="s">
        <v>1232</v>
      </c>
      <c r="C55" t="s">
        <v>1231</v>
      </c>
      <c r="D55">
        <v>9899937996</v>
      </c>
      <c r="F55">
        <v>3013</v>
      </c>
      <c r="G55" t="s">
        <v>18</v>
      </c>
      <c r="H55" t="s">
        <v>37</v>
      </c>
      <c r="I55" s="20">
        <v>649</v>
      </c>
      <c r="J55" s="18" t="s">
        <v>113</v>
      </c>
      <c r="K55" t="s">
        <v>13</v>
      </c>
      <c r="L55" t="s">
        <v>13</v>
      </c>
    </row>
    <row r="56" spans="1:12">
      <c r="A56" s="16">
        <v>46125</v>
      </c>
      <c r="B56" t="s">
        <v>1233</v>
      </c>
      <c r="C56" t="s">
        <v>1234</v>
      </c>
      <c r="D56">
        <v>9971829064</v>
      </c>
      <c r="F56">
        <v>29868</v>
      </c>
      <c r="G56" t="s">
        <v>13</v>
      </c>
      <c r="H56" t="s">
        <v>1235</v>
      </c>
      <c r="I56" s="20">
        <v>1000</v>
      </c>
      <c r="J56" s="18" t="s">
        <v>113</v>
      </c>
      <c r="K56" t="s">
        <v>13</v>
      </c>
      <c r="L56" t="s">
        <v>13</v>
      </c>
    </row>
    <row r="57" spans="1:12">
      <c r="A57" s="16">
        <v>46125</v>
      </c>
      <c r="C57" t="s">
        <v>168</v>
      </c>
      <c r="D57">
        <v>9971227073</v>
      </c>
      <c r="G57" t="s">
        <v>13</v>
      </c>
      <c r="H57" t="s">
        <v>1236</v>
      </c>
      <c r="I57" s="20">
        <v>500</v>
      </c>
      <c r="J57" s="18" t="s">
        <v>113</v>
      </c>
      <c r="K57" t="s">
        <v>13</v>
      </c>
      <c r="L57" t="s">
        <v>13</v>
      </c>
    </row>
    <row r="58" spans="1:12">
      <c r="A58" s="16">
        <v>46127</v>
      </c>
      <c r="B58" t="s">
        <v>349</v>
      </c>
      <c r="C58" t="s">
        <v>357</v>
      </c>
      <c r="D58" t="s">
        <v>1237</v>
      </c>
      <c r="F58">
        <v>27133</v>
      </c>
      <c r="H58" t="s">
        <v>41</v>
      </c>
      <c r="I58" s="20">
        <v>1007</v>
      </c>
      <c r="J58" s="18" t="s">
        <v>113</v>
      </c>
      <c r="K58" t="s">
        <v>13</v>
      </c>
      <c r="L58" t="s">
        <v>13</v>
      </c>
    </row>
    <row r="59" spans="1:12">
      <c r="A59" s="16">
        <v>46127</v>
      </c>
      <c r="B59" t="s">
        <v>345</v>
      </c>
      <c r="C59" t="s">
        <v>111</v>
      </c>
      <c r="D59">
        <v>9015411420</v>
      </c>
      <c r="F59">
        <v>23878</v>
      </c>
      <c r="H59" t="s">
        <v>813</v>
      </c>
      <c r="I59" s="20">
        <f>1007+649</f>
        <v>1656</v>
      </c>
      <c r="J59" s="18" t="s">
        <v>113</v>
      </c>
      <c r="K59" t="s">
        <v>13</v>
      </c>
      <c r="L59" t="s">
        <v>13</v>
      </c>
    </row>
    <row r="60" spans="1:12">
      <c r="A60" s="16">
        <v>46127</v>
      </c>
      <c r="B60" t="s">
        <v>1239</v>
      </c>
      <c r="C60" t="s">
        <v>1238</v>
      </c>
      <c r="D60">
        <v>8130783873</v>
      </c>
      <c r="F60">
        <v>61000</v>
      </c>
      <c r="H60" t="s">
        <v>1240</v>
      </c>
      <c r="I60" s="20">
        <f>800+850+1007+475+500</f>
        <v>3632</v>
      </c>
      <c r="J60" s="18" t="s">
        <v>113</v>
      </c>
      <c r="K60" t="s">
        <v>18</v>
      </c>
      <c r="L60" t="s">
        <v>18</v>
      </c>
    </row>
    <row r="61" spans="1:12">
      <c r="A61" s="16">
        <v>46127</v>
      </c>
      <c r="B61" t="s">
        <v>1241</v>
      </c>
      <c r="C61" t="s">
        <v>1242</v>
      </c>
      <c r="D61">
        <v>9253675555</v>
      </c>
      <c r="F61">
        <v>19000</v>
      </c>
      <c r="H61" t="s">
        <v>1243</v>
      </c>
      <c r="I61" s="20">
        <v>26500</v>
      </c>
      <c r="J61" s="18" t="s">
        <v>126</v>
      </c>
      <c r="K61" t="s">
        <v>18</v>
      </c>
      <c r="L61" t="s">
        <v>18</v>
      </c>
    </row>
    <row r="62" spans="1:12">
      <c r="A62" s="16">
        <v>46127</v>
      </c>
      <c r="B62" t="s">
        <v>1244</v>
      </c>
      <c r="C62" t="s">
        <v>1246</v>
      </c>
      <c r="D62">
        <v>8765662767</v>
      </c>
      <c r="F62">
        <v>65908</v>
      </c>
      <c r="H62" t="s">
        <v>1245</v>
      </c>
      <c r="I62">
        <v>3131</v>
      </c>
      <c r="J62" s="18" t="s">
        <v>113</v>
      </c>
      <c r="K62" t="s">
        <v>18</v>
      </c>
      <c r="L62" t="s">
        <v>18</v>
      </c>
    </row>
    <row r="63" spans="1:12">
      <c r="A63" s="16">
        <v>46128</v>
      </c>
      <c r="B63" t="s">
        <v>34</v>
      </c>
      <c r="C63" t="s">
        <v>36</v>
      </c>
      <c r="D63">
        <v>9718383909</v>
      </c>
      <c r="F63">
        <v>36606</v>
      </c>
      <c r="H63" t="s">
        <v>1248</v>
      </c>
      <c r="I63" s="20">
        <v>5205</v>
      </c>
      <c r="J63" s="18" t="s">
        <v>1249</v>
      </c>
      <c r="K63" t="s">
        <v>13</v>
      </c>
      <c r="L63" t="s">
        <v>13</v>
      </c>
    </row>
    <row r="64" spans="1:12">
      <c r="A64" s="16">
        <v>46128</v>
      </c>
      <c r="B64" t="s">
        <v>59</v>
      </c>
      <c r="C64" t="s">
        <v>1250</v>
      </c>
      <c r="D64">
        <v>9716097028</v>
      </c>
      <c r="F64">
        <v>13615</v>
      </c>
      <c r="H64" t="s">
        <v>1251</v>
      </c>
      <c r="I64" s="20">
        <v>1511</v>
      </c>
      <c r="J64" s="18" t="s">
        <v>113</v>
      </c>
      <c r="K64" t="s">
        <v>13</v>
      </c>
      <c r="L64" t="s">
        <v>13</v>
      </c>
    </row>
    <row r="65" spans="1:12">
      <c r="A65" s="16">
        <v>46128</v>
      </c>
      <c r="B65" t="s">
        <v>1252</v>
      </c>
      <c r="C65" t="s">
        <v>1254</v>
      </c>
      <c r="D65">
        <v>9015745851</v>
      </c>
      <c r="F65">
        <v>27212</v>
      </c>
      <c r="H65" t="s">
        <v>1253</v>
      </c>
      <c r="I65" s="20">
        <v>600</v>
      </c>
      <c r="J65" s="18" t="s">
        <v>126</v>
      </c>
      <c r="K65" t="s">
        <v>13</v>
      </c>
      <c r="L65" t="s">
        <v>13</v>
      </c>
    </row>
    <row r="66" spans="1:12">
      <c r="A66" s="16">
        <v>46128</v>
      </c>
      <c r="B66" t="s">
        <v>1255</v>
      </c>
      <c r="C66" t="s">
        <v>1256</v>
      </c>
      <c r="D66">
        <v>9555092786</v>
      </c>
      <c r="F66">
        <v>23255</v>
      </c>
      <c r="H66" t="s">
        <v>1257</v>
      </c>
      <c r="I66" s="20">
        <f>400+50+625</f>
        <v>1075</v>
      </c>
      <c r="J66" s="18" t="s">
        <v>113</v>
      </c>
      <c r="K66" t="s">
        <v>13</v>
      </c>
      <c r="L66" t="s">
        <v>13</v>
      </c>
    </row>
    <row r="67" spans="1:12">
      <c r="A67" s="16">
        <v>46129</v>
      </c>
      <c r="B67" t="s">
        <v>1258</v>
      </c>
      <c r="C67" t="s">
        <v>1260</v>
      </c>
      <c r="D67">
        <v>9953206056</v>
      </c>
      <c r="F67">
        <v>42848</v>
      </c>
      <c r="H67" t="s">
        <v>1259</v>
      </c>
      <c r="I67" s="20">
        <f>4887+625+1250</f>
        <v>6762</v>
      </c>
      <c r="J67" s="18" t="s">
        <v>113</v>
      </c>
      <c r="K67" t="s">
        <v>18</v>
      </c>
      <c r="L67" t="s">
        <v>13</v>
      </c>
    </row>
    <row r="68" spans="1:12">
      <c r="A68" s="16">
        <v>46129</v>
      </c>
      <c r="B68" t="s">
        <v>1263</v>
      </c>
      <c r="C68" t="s">
        <v>1262</v>
      </c>
      <c r="D68">
        <v>7876638281</v>
      </c>
      <c r="F68">
        <v>15000</v>
      </c>
      <c r="H68" t="s">
        <v>1261</v>
      </c>
      <c r="I68" s="20">
        <v>350</v>
      </c>
      <c r="J68" s="18" t="s">
        <v>113</v>
      </c>
      <c r="K68" t="s">
        <v>13</v>
      </c>
      <c r="L68" t="s">
        <v>13</v>
      </c>
    </row>
    <row r="69" spans="1:12">
      <c r="A69" s="16">
        <v>46129</v>
      </c>
      <c r="B69" t="s">
        <v>433</v>
      </c>
      <c r="C69" t="s">
        <v>111</v>
      </c>
      <c r="D69">
        <v>9212756556</v>
      </c>
      <c r="F69">
        <v>6894</v>
      </c>
      <c r="H69" t="s">
        <v>1264</v>
      </c>
      <c r="I69" s="20">
        <f>1885+50</f>
        <v>1935</v>
      </c>
      <c r="J69" s="18" t="s">
        <v>113</v>
      </c>
      <c r="K69" t="s">
        <v>13</v>
      </c>
      <c r="L69" t="s">
        <v>13</v>
      </c>
    </row>
    <row r="70" spans="1:12">
      <c r="A70" s="16">
        <v>46129</v>
      </c>
      <c r="B70" t="s">
        <v>1266</v>
      </c>
      <c r="C70" t="s">
        <v>1265</v>
      </c>
      <c r="D70">
        <v>9717081336</v>
      </c>
      <c r="F70">
        <v>6569</v>
      </c>
      <c r="H70" t="s">
        <v>1267</v>
      </c>
      <c r="I70" s="20">
        <f>2364+150+1007</f>
        <v>3521</v>
      </c>
      <c r="J70" s="18" t="s">
        <v>113</v>
      </c>
      <c r="K70" t="s">
        <v>13</v>
      </c>
      <c r="L70" t="s">
        <v>13</v>
      </c>
    </row>
    <row r="71" spans="1:12">
      <c r="A71" s="16">
        <v>46129</v>
      </c>
      <c r="B71" t="s">
        <v>1137</v>
      </c>
      <c r="C71" t="s">
        <v>1136</v>
      </c>
      <c r="D71">
        <v>8377089848</v>
      </c>
      <c r="F71">
        <v>19321</v>
      </c>
      <c r="H71" t="s">
        <v>41</v>
      </c>
      <c r="I71" s="20">
        <v>1000</v>
      </c>
      <c r="J71" s="18" t="s">
        <v>113</v>
      </c>
      <c r="K71" t="s">
        <v>18</v>
      </c>
      <c r="L71" t="s">
        <v>13</v>
      </c>
    </row>
    <row r="72" spans="1:12">
      <c r="A72" s="16">
        <v>46131</v>
      </c>
      <c r="B72" t="s">
        <v>1270</v>
      </c>
      <c r="C72" t="s">
        <v>1269</v>
      </c>
      <c r="D72">
        <v>8800488374</v>
      </c>
      <c r="F72">
        <v>75000</v>
      </c>
      <c r="H72" t="s">
        <v>1268</v>
      </c>
      <c r="I72" s="20">
        <f>4887+625+500</f>
        <v>6012</v>
      </c>
      <c r="J72" s="18" t="s">
        <v>113</v>
      </c>
      <c r="K72" t="s">
        <v>13</v>
      </c>
      <c r="L72" t="s">
        <v>13</v>
      </c>
    </row>
    <row r="73" spans="1:12">
      <c r="A73" s="16">
        <v>46131</v>
      </c>
      <c r="B73" t="s">
        <v>1272</v>
      </c>
      <c r="C73" t="s">
        <v>1273</v>
      </c>
      <c r="D73">
        <v>9891427905</v>
      </c>
      <c r="F73">
        <v>49685</v>
      </c>
      <c r="H73" t="s">
        <v>1271</v>
      </c>
      <c r="I73" s="20">
        <f>4257+500</f>
        <v>4757</v>
      </c>
      <c r="J73" s="18" t="s">
        <v>1274</v>
      </c>
      <c r="K73" t="s">
        <v>13</v>
      </c>
      <c r="L73" t="s">
        <v>13</v>
      </c>
    </row>
    <row r="74" spans="1:12">
      <c r="A74" s="16">
        <v>46131</v>
      </c>
      <c r="B74" t="s">
        <v>854</v>
      </c>
      <c r="C74" t="s">
        <v>855</v>
      </c>
      <c r="D74">
        <v>9015772313</v>
      </c>
      <c r="F74">
        <v>32098</v>
      </c>
      <c r="H74" t="s">
        <v>1275</v>
      </c>
      <c r="I74" s="20">
        <v>5430</v>
      </c>
      <c r="J74" s="18" t="s">
        <v>113</v>
      </c>
      <c r="K74" t="s">
        <v>13</v>
      </c>
      <c r="L74" t="s">
        <v>13</v>
      </c>
    </row>
    <row r="75" spans="1:12">
      <c r="A75" s="16">
        <v>46131</v>
      </c>
      <c r="B75" t="s">
        <v>1276</v>
      </c>
      <c r="C75" t="s">
        <v>1277</v>
      </c>
      <c r="D75">
        <v>8178302141</v>
      </c>
      <c r="F75">
        <v>14098</v>
      </c>
      <c r="H75" t="s">
        <v>1278</v>
      </c>
      <c r="I75" s="20">
        <v>700</v>
      </c>
      <c r="J75" s="18" t="s">
        <v>113</v>
      </c>
      <c r="K75" t="s">
        <v>13</v>
      </c>
      <c r="L75" t="s">
        <v>13</v>
      </c>
    </row>
    <row r="76" spans="1:12">
      <c r="A76" s="16">
        <v>46131</v>
      </c>
      <c r="B76" t="s">
        <v>574</v>
      </c>
      <c r="C76" t="s">
        <v>1279</v>
      </c>
      <c r="D76">
        <v>9015413614</v>
      </c>
      <c r="F76">
        <v>29143</v>
      </c>
      <c r="H76" t="s">
        <v>1280</v>
      </c>
      <c r="I76" s="20">
        <v>1149</v>
      </c>
      <c r="J76" s="18" t="s">
        <v>113</v>
      </c>
      <c r="K76" t="s">
        <v>13</v>
      </c>
      <c r="L76" t="s">
        <v>13</v>
      </c>
    </row>
    <row r="77" spans="1:12">
      <c r="A77" s="16">
        <v>46131</v>
      </c>
      <c r="B77" t="s">
        <v>1281</v>
      </c>
      <c r="C77" t="s">
        <v>1282</v>
      </c>
      <c r="D77">
        <v>8802375578</v>
      </c>
      <c r="F77">
        <v>7600</v>
      </c>
      <c r="H77" t="s">
        <v>1283</v>
      </c>
      <c r="I77" s="20">
        <v>1600</v>
      </c>
      <c r="J77" s="18" t="s">
        <v>126</v>
      </c>
      <c r="K77" t="s">
        <v>13</v>
      </c>
      <c r="L77" t="s">
        <v>13</v>
      </c>
    </row>
    <row r="78" spans="1:12">
      <c r="A78" s="16">
        <v>46131</v>
      </c>
      <c r="B78" t="s">
        <v>1284</v>
      </c>
      <c r="C78" t="s">
        <v>1285</v>
      </c>
      <c r="D78">
        <v>9015514370</v>
      </c>
      <c r="F78">
        <v>1198</v>
      </c>
      <c r="H78" t="s">
        <v>37</v>
      </c>
      <c r="I78" s="20">
        <f>649+150</f>
        <v>799</v>
      </c>
      <c r="J78" s="18" t="s">
        <v>113</v>
      </c>
      <c r="K78" t="s">
        <v>13</v>
      </c>
      <c r="L78" t="s">
        <v>13</v>
      </c>
    </row>
    <row r="79" spans="1:12">
      <c r="A79" s="16">
        <v>46132</v>
      </c>
      <c r="B79" t="s">
        <v>1286</v>
      </c>
      <c r="C79" t="s">
        <v>1287</v>
      </c>
      <c r="D79">
        <v>9149627649</v>
      </c>
      <c r="F79">
        <v>15750</v>
      </c>
      <c r="H79" t="s">
        <v>1288</v>
      </c>
      <c r="I79" s="20">
        <f>1352+4887</f>
        <v>6239</v>
      </c>
      <c r="J79" s="18" t="s">
        <v>113</v>
      </c>
      <c r="K79" t="s">
        <v>13</v>
      </c>
      <c r="L79" t="s">
        <v>13</v>
      </c>
    </row>
    <row r="80" spans="1:12">
      <c r="A80" s="16">
        <v>46132</v>
      </c>
      <c r="B80" t="s">
        <v>82</v>
      </c>
      <c r="C80" t="s">
        <v>85</v>
      </c>
      <c r="D80">
        <v>8447261956</v>
      </c>
      <c r="F80">
        <v>115000</v>
      </c>
      <c r="H80" t="s">
        <v>1289</v>
      </c>
      <c r="I80" s="20">
        <v>1000</v>
      </c>
      <c r="J80" s="18" t="s">
        <v>113</v>
      </c>
      <c r="K80" t="s">
        <v>13</v>
      </c>
      <c r="L80" t="s">
        <v>13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/>
  </sheetViews>
  <sheetFormatPr defaultRowHeight="15"/>
  <cols>
    <col min="1" max="1" width="11" bestFit="1" customWidth="1"/>
    <col min="2" max="2" width="19.140625" bestFit="1" customWidth="1"/>
    <col min="5" max="5" width="11" bestFit="1" customWidth="1"/>
    <col min="6" max="6" width="11.5703125" bestFit="1" customWidth="1"/>
    <col min="10" max="10" width="11.5703125" bestFit="1" customWidth="1"/>
    <col min="12" max="12" width="11.42578125" bestFit="1" customWidth="1"/>
  </cols>
  <sheetData>
    <row r="1" spans="1:10">
      <c r="A1">
        <v>9315271678</v>
      </c>
      <c r="B1" t="s">
        <v>1073</v>
      </c>
    </row>
    <row r="3" spans="1:10">
      <c r="J3" s="16"/>
    </row>
    <row r="4" spans="1:10">
      <c r="J4" s="16"/>
    </row>
    <row r="5" spans="1:10">
      <c r="J5" s="16"/>
    </row>
    <row r="6" spans="1:10">
      <c r="J6" s="16"/>
    </row>
    <row r="7" spans="1:10">
      <c r="J7" s="16"/>
    </row>
    <row r="8" spans="1:10">
      <c r="J8" s="16"/>
    </row>
    <row r="9" spans="1:10">
      <c r="J9" s="16"/>
    </row>
    <row r="10" spans="1:10">
      <c r="J10" s="16"/>
    </row>
    <row r="11" spans="1:10">
      <c r="J11" s="16"/>
    </row>
    <row r="12" spans="1:10">
      <c r="E12" s="8">
        <v>8287737556</v>
      </c>
      <c r="F12" t="s">
        <v>1130</v>
      </c>
      <c r="G12" t="s">
        <v>1131</v>
      </c>
      <c r="H12" t="s">
        <v>1132</v>
      </c>
      <c r="J12" s="16"/>
    </row>
    <row r="13" spans="1:10">
      <c r="J13" s="16"/>
    </row>
    <row r="14" spans="1:10">
      <c r="J14" s="16"/>
    </row>
    <row r="15" spans="1:10">
      <c r="J15" s="16"/>
    </row>
    <row r="16" spans="1:10">
      <c r="J16" s="16"/>
    </row>
    <row r="17" spans="10:10">
      <c r="J17" s="16"/>
    </row>
    <row r="18" spans="10:10">
      <c r="J18" s="16"/>
    </row>
    <row r="19" spans="10:10">
      <c r="J19" s="16"/>
    </row>
    <row r="20" spans="10:10">
      <c r="J2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Nov'25</vt:lpstr>
      <vt:lpstr>Dec'25</vt:lpstr>
      <vt:lpstr>Jan'26</vt:lpstr>
      <vt:lpstr>Feb'26</vt:lpstr>
      <vt:lpstr>Mar'26</vt:lpstr>
      <vt:lpstr>Apr'26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2025-11-23T08:32:39Z</dcterms:created>
  <dcterms:modified xsi:type="dcterms:W3CDTF">2026-04-20T12:21:21Z</dcterms:modified>
</cp:coreProperties>
</file>